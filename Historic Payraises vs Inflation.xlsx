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sulliv2\ARCPY_DEV_SPACE\CPSU-inflation-comparison\"/>
    </mc:Choice>
  </mc:AlternateContent>
  <xr:revisionPtr revIDLastSave="0" documentId="13_ncr:1_{5739CBE0-65B3-4833-92B2-9A2F7114AAEC}" xr6:coauthVersionLast="47" xr6:coauthVersionMax="47" xr10:uidLastSave="{00000000-0000-0000-0000-000000000000}"/>
  <bookViews>
    <workbookView xWindow="-28455" yWindow="900" windowWidth="20805" windowHeight="14535" firstSheet="1" activeTab="5" xr2:uid="{CD1E8D7B-D7EC-497F-9392-73D2A107AB2C}"/>
  </bookViews>
  <sheets>
    <sheet name="AllPayPoints" sheetId="1" r:id="rId1"/>
    <sheet name="MaxPayPoints" sheetId="2" r:id="rId2"/>
    <sheet name="MaxPayPoints Transposed" sheetId="3" r:id="rId3"/>
    <sheet name="CPI" sheetId="6" r:id="rId4"/>
    <sheet name="SLCI" sheetId="4" r:id="rId5"/>
    <sheet name="Fortnightly Pay" sheetId="5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3" i="5" l="1"/>
  <c r="B4" i="5"/>
  <c r="B5" i="5"/>
  <c r="B6" i="5"/>
  <c r="B7" i="5"/>
  <c r="B8" i="5"/>
  <c r="B9" i="5"/>
  <c r="B10" i="5"/>
  <c r="B11" i="5"/>
  <c r="B12" i="5"/>
  <c r="B13" i="5"/>
  <c r="B14" i="5"/>
  <c r="B15" i="5"/>
  <c r="B16" i="5"/>
  <c r="B17" i="5"/>
  <c r="B18" i="5"/>
  <c r="B19" i="5"/>
  <c r="B20" i="5"/>
  <c r="B21" i="5"/>
  <c r="B22" i="5"/>
  <c r="B23" i="5"/>
  <c r="B24" i="5"/>
  <c r="B25" i="5"/>
  <c r="B26" i="5"/>
  <c r="B27" i="5"/>
  <c r="B28" i="5"/>
  <c r="B29" i="5"/>
  <c r="B30" i="5"/>
  <c r="B31" i="5"/>
  <c r="B32" i="5"/>
  <c r="B33" i="5"/>
  <c r="B34" i="5"/>
  <c r="B35" i="5"/>
  <c r="B36" i="5"/>
  <c r="B37" i="5"/>
  <c r="B38" i="5"/>
  <c r="B39" i="5"/>
  <c r="B40" i="5"/>
  <c r="B41" i="5"/>
  <c r="B42" i="5"/>
  <c r="B43" i="5"/>
  <c r="B44" i="5"/>
  <c r="B45" i="5"/>
  <c r="B46" i="5"/>
  <c r="B47" i="5"/>
  <c r="B48" i="5"/>
  <c r="B49" i="5"/>
  <c r="B50" i="5"/>
  <c r="B51" i="5"/>
  <c r="B52" i="5"/>
  <c r="B53" i="5"/>
  <c r="B54" i="5"/>
  <c r="B55" i="5"/>
  <c r="B56" i="5"/>
  <c r="B57" i="5"/>
  <c r="B58" i="5"/>
  <c r="B59" i="5"/>
  <c r="B60" i="5"/>
  <c r="B61" i="5"/>
  <c r="B62" i="5"/>
  <c r="B63" i="5"/>
  <c r="B64" i="5"/>
  <c r="B65" i="5"/>
  <c r="B66" i="5"/>
  <c r="B67" i="5"/>
  <c r="B68" i="5"/>
  <c r="B69" i="5"/>
  <c r="B70" i="5"/>
  <c r="B71" i="5"/>
  <c r="B72" i="5"/>
  <c r="B73" i="5"/>
  <c r="B74" i="5"/>
  <c r="B75" i="5"/>
  <c r="B76" i="5"/>
  <c r="B77" i="5"/>
  <c r="B78" i="5"/>
  <c r="B79" i="5"/>
  <c r="B80" i="5"/>
  <c r="B81" i="5"/>
  <c r="B82" i="5"/>
  <c r="B83" i="5"/>
  <c r="B84" i="5"/>
  <c r="B85" i="5"/>
  <c r="B86" i="5"/>
  <c r="B87" i="5"/>
  <c r="B88" i="5"/>
  <c r="B89" i="5"/>
  <c r="B90" i="5"/>
  <c r="B91" i="5"/>
  <c r="B92" i="5"/>
  <c r="B93" i="5"/>
  <c r="B94" i="5"/>
  <c r="B95" i="5"/>
  <c r="B96" i="5"/>
  <c r="B97" i="5"/>
  <c r="B98" i="5"/>
  <c r="B99" i="5"/>
  <c r="B100" i="5"/>
  <c r="B101" i="5"/>
  <c r="B102" i="5"/>
  <c r="B103" i="5"/>
  <c r="B104" i="5"/>
  <c r="B105" i="5"/>
  <c r="B106" i="5"/>
  <c r="B107" i="5"/>
  <c r="B108" i="5"/>
  <c r="B109" i="5"/>
  <c r="B110" i="5"/>
  <c r="B111" i="5"/>
  <c r="B112" i="5"/>
  <c r="B113" i="5"/>
  <c r="B114" i="5"/>
  <c r="B115" i="5"/>
  <c r="B116" i="5"/>
  <c r="B117" i="5"/>
  <c r="B118" i="5"/>
  <c r="B119" i="5"/>
  <c r="B120" i="5"/>
  <c r="B121" i="5"/>
  <c r="B122" i="5"/>
  <c r="B123" i="5"/>
  <c r="B124" i="5"/>
  <c r="B125" i="5"/>
  <c r="B126" i="5"/>
  <c r="B127" i="5"/>
  <c r="B128" i="5"/>
  <c r="B129" i="5"/>
  <c r="B130" i="5"/>
  <c r="B131" i="5"/>
  <c r="B132" i="5"/>
  <c r="B133" i="5"/>
  <c r="B134" i="5"/>
  <c r="B135" i="5"/>
  <c r="B136" i="5"/>
  <c r="B137" i="5"/>
  <c r="B138" i="5"/>
  <c r="B139" i="5"/>
  <c r="B140" i="5"/>
  <c r="B141" i="5"/>
  <c r="B142" i="5"/>
  <c r="B143" i="5"/>
  <c r="B144" i="5"/>
  <c r="B145" i="5"/>
  <c r="B146" i="5"/>
  <c r="B147" i="5"/>
  <c r="B148" i="5"/>
  <c r="B149" i="5"/>
  <c r="B150" i="5"/>
  <c r="B151" i="5"/>
  <c r="B152" i="5"/>
  <c r="B153" i="5"/>
  <c r="B154" i="5"/>
  <c r="B155" i="5"/>
  <c r="B156" i="5"/>
  <c r="B157" i="5"/>
  <c r="B158" i="5"/>
  <c r="B159" i="5"/>
  <c r="B160" i="5"/>
  <c r="B161" i="5"/>
  <c r="B162" i="5"/>
  <c r="B163" i="5"/>
  <c r="B164" i="5"/>
  <c r="B165" i="5"/>
  <c r="B166" i="5"/>
  <c r="B167" i="5"/>
  <c r="B168" i="5"/>
  <c r="B169" i="5"/>
  <c r="B170" i="5"/>
  <c r="B171" i="5"/>
  <c r="B172" i="5"/>
  <c r="B173" i="5"/>
  <c r="B174" i="5"/>
  <c r="B175" i="5"/>
  <c r="B176" i="5"/>
  <c r="B177" i="5"/>
  <c r="B178" i="5"/>
  <c r="B179" i="5"/>
  <c r="B180" i="5"/>
  <c r="B181" i="5"/>
  <c r="B182" i="5"/>
  <c r="B183" i="5"/>
  <c r="B184" i="5"/>
  <c r="B185" i="5"/>
  <c r="B186" i="5"/>
  <c r="B187" i="5"/>
  <c r="B188" i="5"/>
  <c r="B2" i="5"/>
  <c r="J3" i="5"/>
  <c r="J4" i="5"/>
  <c r="J5" i="5"/>
  <c r="J6" i="5"/>
  <c r="J7" i="5"/>
  <c r="J8" i="5"/>
  <c r="J9" i="5"/>
  <c r="J10" i="5"/>
  <c r="J11" i="5"/>
  <c r="J12" i="5"/>
  <c r="J13" i="5"/>
  <c r="J14" i="5"/>
  <c r="J15" i="5"/>
  <c r="J16" i="5"/>
  <c r="J17" i="5"/>
  <c r="J18" i="5"/>
  <c r="J19" i="5"/>
  <c r="J20" i="5"/>
  <c r="J21" i="5"/>
  <c r="J22" i="5"/>
  <c r="J23" i="5"/>
  <c r="J24" i="5"/>
  <c r="J25" i="5"/>
  <c r="J26" i="5"/>
  <c r="J27" i="5"/>
  <c r="J28" i="5"/>
  <c r="J29" i="5"/>
  <c r="J30" i="5"/>
  <c r="J31" i="5"/>
  <c r="J32" i="5"/>
  <c r="J33" i="5"/>
  <c r="J34" i="5"/>
  <c r="J35" i="5"/>
  <c r="J36" i="5"/>
  <c r="J37" i="5"/>
  <c r="J38" i="5"/>
  <c r="J39" i="5"/>
  <c r="J40" i="5"/>
  <c r="J41" i="5"/>
  <c r="J42" i="5"/>
  <c r="J43" i="5"/>
  <c r="J44" i="5"/>
  <c r="J45" i="5"/>
  <c r="J46" i="5"/>
  <c r="J47" i="5"/>
  <c r="J48" i="5"/>
  <c r="J49" i="5"/>
  <c r="J50" i="5"/>
  <c r="J51" i="5"/>
  <c r="J52" i="5"/>
  <c r="J53" i="5"/>
  <c r="J54" i="5"/>
  <c r="J55" i="5"/>
  <c r="J56" i="5"/>
  <c r="J57" i="5"/>
  <c r="J58" i="5"/>
  <c r="J59" i="5"/>
  <c r="J60" i="5"/>
  <c r="J61" i="5"/>
  <c r="J62" i="5"/>
  <c r="J63" i="5"/>
  <c r="J64" i="5"/>
  <c r="J65" i="5"/>
  <c r="J66" i="5"/>
  <c r="J67" i="5"/>
  <c r="J68" i="5"/>
  <c r="J69" i="5"/>
  <c r="J70" i="5"/>
  <c r="J71" i="5"/>
  <c r="J72" i="5"/>
  <c r="J73" i="5"/>
  <c r="J74" i="5"/>
  <c r="J75" i="5"/>
  <c r="J76" i="5"/>
  <c r="J77" i="5"/>
  <c r="J78" i="5"/>
  <c r="J79" i="5"/>
  <c r="J80" i="5"/>
  <c r="J81" i="5"/>
  <c r="J82" i="5"/>
  <c r="J83" i="5"/>
  <c r="J84" i="5"/>
  <c r="J85" i="5"/>
  <c r="J86" i="5"/>
  <c r="J87" i="5"/>
  <c r="J88" i="5"/>
  <c r="J89" i="5"/>
  <c r="J90" i="5"/>
  <c r="J91" i="5"/>
  <c r="J92" i="5"/>
  <c r="J93" i="5"/>
  <c r="J94" i="5"/>
  <c r="J95" i="5"/>
  <c r="J96" i="5"/>
  <c r="J97" i="5"/>
  <c r="J98" i="5"/>
  <c r="J99" i="5"/>
  <c r="J100" i="5"/>
  <c r="J101" i="5"/>
  <c r="J102" i="5"/>
  <c r="J103" i="5"/>
  <c r="J104" i="5"/>
  <c r="J105" i="5"/>
  <c r="J106" i="5"/>
  <c r="J107" i="5"/>
  <c r="J108" i="5"/>
  <c r="J109" i="5"/>
  <c r="J110" i="5"/>
  <c r="J111" i="5"/>
  <c r="J112" i="5"/>
  <c r="J113" i="5"/>
  <c r="J114" i="5"/>
  <c r="J115" i="5"/>
  <c r="J116" i="5"/>
  <c r="J117" i="5"/>
  <c r="J118" i="5"/>
  <c r="J119" i="5"/>
  <c r="J120" i="5"/>
  <c r="J121" i="5"/>
  <c r="J122" i="5"/>
  <c r="J123" i="5"/>
  <c r="J124" i="5"/>
  <c r="J125" i="5"/>
  <c r="J126" i="5"/>
  <c r="J127" i="5"/>
  <c r="J128" i="5"/>
  <c r="J129" i="5"/>
  <c r="J130" i="5"/>
  <c r="J131" i="5"/>
  <c r="J132" i="5"/>
  <c r="J133" i="5"/>
  <c r="J134" i="5"/>
  <c r="J135" i="5"/>
  <c r="J136" i="5"/>
  <c r="J137" i="5"/>
  <c r="J138" i="5"/>
  <c r="J139" i="5"/>
  <c r="J140" i="5"/>
  <c r="J141" i="5"/>
  <c r="J142" i="5"/>
  <c r="J143" i="5"/>
  <c r="J144" i="5"/>
  <c r="J145" i="5"/>
  <c r="J146" i="5"/>
  <c r="J147" i="5"/>
  <c r="J148" i="5"/>
  <c r="J149" i="5"/>
  <c r="J150" i="5"/>
  <c r="J151" i="5"/>
  <c r="J152" i="5"/>
  <c r="J153" i="5"/>
  <c r="J154" i="5"/>
  <c r="J155" i="5"/>
  <c r="J156" i="5"/>
  <c r="J157" i="5"/>
  <c r="J158" i="5"/>
  <c r="J159" i="5"/>
  <c r="J160" i="5"/>
  <c r="J161" i="5"/>
  <c r="J162" i="5"/>
  <c r="J163" i="5"/>
  <c r="J164" i="5"/>
  <c r="J165" i="5"/>
  <c r="J166" i="5"/>
  <c r="J167" i="5"/>
  <c r="J168" i="5"/>
  <c r="J169" i="5"/>
  <c r="J170" i="5"/>
  <c r="J171" i="5"/>
  <c r="J172" i="5"/>
  <c r="J173" i="5"/>
  <c r="J174" i="5"/>
  <c r="J175" i="5"/>
  <c r="J176" i="5"/>
  <c r="J177" i="5"/>
  <c r="J178" i="5"/>
  <c r="J179" i="5"/>
  <c r="J180" i="5"/>
  <c r="J181" i="5"/>
  <c r="J182" i="5"/>
  <c r="J183" i="5"/>
  <c r="J184" i="5"/>
  <c r="J185" i="5"/>
  <c r="J186" i="5"/>
  <c r="J187" i="5"/>
  <c r="J188" i="5"/>
  <c r="J2" i="5"/>
  <c r="I3" i="5"/>
  <c r="I4" i="5"/>
  <c r="I5" i="5"/>
  <c r="I6" i="5"/>
  <c r="I7" i="5"/>
  <c r="I8" i="5"/>
  <c r="I9" i="5"/>
  <c r="I10" i="5"/>
  <c r="I11" i="5"/>
  <c r="I12" i="5"/>
  <c r="I13" i="5"/>
  <c r="I14" i="5"/>
  <c r="I15" i="5"/>
  <c r="I16" i="5"/>
  <c r="I17" i="5"/>
  <c r="I18" i="5"/>
  <c r="I19" i="5"/>
  <c r="I20" i="5"/>
  <c r="I21" i="5"/>
  <c r="I22" i="5"/>
  <c r="I23" i="5"/>
  <c r="I24" i="5"/>
  <c r="I25" i="5"/>
  <c r="I26" i="5"/>
  <c r="I27" i="5"/>
  <c r="I28" i="5"/>
  <c r="I29" i="5"/>
  <c r="I30" i="5"/>
  <c r="I31" i="5"/>
  <c r="I32" i="5"/>
  <c r="I33" i="5"/>
  <c r="I34" i="5"/>
  <c r="I35" i="5"/>
  <c r="I36" i="5"/>
  <c r="I37" i="5"/>
  <c r="I38" i="5"/>
  <c r="I39" i="5"/>
  <c r="I40" i="5"/>
  <c r="I41" i="5"/>
  <c r="I42" i="5"/>
  <c r="I43" i="5"/>
  <c r="I44" i="5"/>
  <c r="I45" i="5"/>
  <c r="I46" i="5"/>
  <c r="I47" i="5"/>
  <c r="I48" i="5"/>
  <c r="I49" i="5"/>
  <c r="I50" i="5"/>
  <c r="I51" i="5"/>
  <c r="I52" i="5"/>
  <c r="I53" i="5"/>
  <c r="I54" i="5"/>
  <c r="I55" i="5"/>
  <c r="I56" i="5"/>
  <c r="I57" i="5"/>
  <c r="I58" i="5"/>
  <c r="I59" i="5"/>
  <c r="I60" i="5"/>
  <c r="I61" i="5"/>
  <c r="I62" i="5"/>
  <c r="I63" i="5"/>
  <c r="I64" i="5"/>
  <c r="I65" i="5"/>
  <c r="I66" i="5"/>
  <c r="I67" i="5"/>
  <c r="I68" i="5"/>
  <c r="I69" i="5"/>
  <c r="I70" i="5"/>
  <c r="I71" i="5"/>
  <c r="I72" i="5"/>
  <c r="I73" i="5"/>
  <c r="I74" i="5"/>
  <c r="I75" i="5"/>
  <c r="I76" i="5"/>
  <c r="I77" i="5"/>
  <c r="I78" i="5"/>
  <c r="I79" i="5"/>
  <c r="I80" i="5"/>
  <c r="I81" i="5"/>
  <c r="I82" i="5"/>
  <c r="I83" i="5"/>
  <c r="I84" i="5"/>
  <c r="I85" i="5"/>
  <c r="I86" i="5"/>
  <c r="I87" i="5"/>
  <c r="I88" i="5"/>
  <c r="I89" i="5"/>
  <c r="I90" i="5"/>
  <c r="I91" i="5"/>
  <c r="I92" i="5"/>
  <c r="I93" i="5"/>
  <c r="I94" i="5"/>
  <c r="I95" i="5"/>
  <c r="I96" i="5"/>
  <c r="I97" i="5"/>
  <c r="I98" i="5"/>
  <c r="I99" i="5"/>
  <c r="I100" i="5"/>
  <c r="I101" i="5"/>
  <c r="I102" i="5"/>
  <c r="I103" i="5"/>
  <c r="I104" i="5"/>
  <c r="I105" i="5"/>
  <c r="I106" i="5"/>
  <c r="I107" i="5"/>
  <c r="I108" i="5"/>
  <c r="I109" i="5"/>
  <c r="I110" i="5"/>
  <c r="I111" i="5"/>
  <c r="I112" i="5"/>
  <c r="I113" i="5"/>
  <c r="I114" i="5"/>
  <c r="I115" i="5"/>
  <c r="I116" i="5"/>
  <c r="I117" i="5"/>
  <c r="I118" i="5"/>
  <c r="I119" i="5"/>
  <c r="I120" i="5"/>
  <c r="I121" i="5"/>
  <c r="I122" i="5"/>
  <c r="I123" i="5"/>
  <c r="I124" i="5"/>
  <c r="I125" i="5"/>
  <c r="I126" i="5"/>
  <c r="I127" i="5"/>
  <c r="I128" i="5"/>
  <c r="I129" i="5"/>
  <c r="I130" i="5"/>
  <c r="I131" i="5"/>
  <c r="I132" i="5"/>
  <c r="I133" i="5"/>
  <c r="I134" i="5"/>
  <c r="I135" i="5"/>
  <c r="I136" i="5"/>
  <c r="I137" i="5"/>
  <c r="I138" i="5"/>
  <c r="I139" i="5"/>
  <c r="I140" i="5"/>
  <c r="I141" i="5"/>
  <c r="I142" i="5"/>
  <c r="I143" i="5"/>
  <c r="I144" i="5"/>
  <c r="I145" i="5"/>
  <c r="I146" i="5"/>
  <c r="I147" i="5"/>
  <c r="I148" i="5"/>
  <c r="I149" i="5"/>
  <c r="I150" i="5"/>
  <c r="I151" i="5"/>
  <c r="I152" i="5"/>
  <c r="I153" i="5"/>
  <c r="I154" i="5"/>
  <c r="I155" i="5"/>
  <c r="I156" i="5"/>
  <c r="I157" i="5"/>
  <c r="I158" i="5"/>
  <c r="I159" i="5"/>
  <c r="I160" i="5"/>
  <c r="I161" i="5"/>
  <c r="I162" i="5"/>
  <c r="I163" i="5"/>
  <c r="I164" i="5"/>
  <c r="I165" i="5"/>
  <c r="I166" i="5"/>
  <c r="I167" i="5"/>
  <c r="I168" i="5"/>
  <c r="I169" i="5"/>
  <c r="I170" i="5"/>
  <c r="I171" i="5"/>
  <c r="I172" i="5"/>
  <c r="I173" i="5"/>
  <c r="I174" i="5"/>
  <c r="I175" i="5"/>
  <c r="I176" i="5"/>
  <c r="I177" i="5"/>
  <c r="I178" i="5"/>
  <c r="I179" i="5"/>
  <c r="I180" i="5"/>
  <c r="I181" i="5"/>
  <c r="I182" i="5"/>
  <c r="I183" i="5"/>
  <c r="I184" i="5"/>
  <c r="I185" i="5"/>
  <c r="I186" i="5"/>
  <c r="I187" i="5"/>
  <c r="I188" i="5"/>
  <c r="I2" i="5"/>
  <c r="H2" i="5"/>
  <c r="H3" i="5"/>
  <c r="H4" i="5"/>
  <c r="H5" i="5"/>
  <c r="H6" i="5"/>
  <c r="H7" i="5"/>
  <c r="H8" i="5"/>
  <c r="H9" i="5"/>
  <c r="H10" i="5"/>
  <c r="H11" i="5"/>
  <c r="H12" i="5"/>
  <c r="H13" i="5"/>
  <c r="H14" i="5"/>
  <c r="H15" i="5"/>
  <c r="H16" i="5"/>
  <c r="H17" i="5"/>
  <c r="H18" i="5"/>
  <c r="H19" i="5"/>
  <c r="H20" i="5"/>
  <c r="H21" i="5"/>
  <c r="H22" i="5"/>
  <c r="H23" i="5"/>
  <c r="H24" i="5"/>
  <c r="H25" i="5"/>
  <c r="H26" i="5"/>
  <c r="H27" i="5"/>
  <c r="H28" i="5"/>
  <c r="H29" i="5"/>
  <c r="H30" i="5"/>
  <c r="H31" i="5"/>
  <c r="H32" i="5"/>
  <c r="H33" i="5"/>
  <c r="H34" i="5"/>
  <c r="H35" i="5"/>
  <c r="H36" i="5"/>
  <c r="H37" i="5"/>
  <c r="H38" i="5"/>
  <c r="H39" i="5"/>
  <c r="H40" i="5"/>
  <c r="H41" i="5"/>
  <c r="H42" i="5"/>
  <c r="H43" i="5"/>
  <c r="H44" i="5"/>
  <c r="H45" i="5"/>
  <c r="H46" i="5"/>
  <c r="H47" i="5"/>
  <c r="H48" i="5"/>
  <c r="H49" i="5"/>
  <c r="H50" i="5"/>
  <c r="H51" i="5"/>
  <c r="H52" i="5"/>
  <c r="H53" i="5"/>
  <c r="H54" i="5"/>
  <c r="H55" i="5"/>
  <c r="H56" i="5"/>
  <c r="H57" i="5"/>
  <c r="H58" i="5"/>
  <c r="H59" i="5"/>
  <c r="H60" i="5"/>
  <c r="H61" i="5"/>
  <c r="H62" i="5"/>
  <c r="H63" i="5"/>
  <c r="H64" i="5"/>
  <c r="H65" i="5"/>
  <c r="H66" i="5"/>
  <c r="H67" i="5"/>
  <c r="H68" i="5"/>
  <c r="H69" i="5"/>
  <c r="H70" i="5"/>
  <c r="H71" i="5"/>
  <c r="H72" i="5"/>
  <c r="H73" i="5"/>
  <c r="H74" i="5"/>
  <c r="H75" i="5"/>
  <c r="H76" i="5"/>
  <c r="H77" i="5"/>
  <c r="H78" i="5"/>
  <c r="H79" i="5"/>
  <c r="H80" i="5"/>
  <c r="H81" i="5"/>
  <c r="H82" i="5"/>
  <c r="H83" i="5"/>
  <c r="H84" i="5"/>
  <c r="H85" i="5"/>
  <c r="H86" i="5"/>
  <c r="H87" i="5"/>
  <c r="H88" i="5"/>
  <c r="H89" i="5"/>
  <c r="H90" i="5"/>
  <c r="H91" i="5"/>
  <c r="H92" i="5"/>
  <c r="H93" i="5"/>
  <c r="H94" i="5"/>
  <c r="H95" i="5"/>
  <c r="H96" i="5"/>
  <c r="H97" i="5"/>
  <c r="H98" i="5"/>
  <c r="H99" i="5"/>
  <c r="H100" i="5"/>
  <c r="H101" i="5"/>
  <c r="H102" i="5"/>
  <c r="H103" i="5"/>
  <c r="H104" i="5"/>
  <c r="H105" i="5"/>
  <c r="H106" i="5"/>
  <c r="H107" i="5"/>
  <c r="H108" i="5"/>
  <c r="H109" i="5"/>
  <c r="H110" i="5"/>
  <c r="H111" i="5"/>
  <c r="H112" i="5"/>
  <c r="H113" i="5"/>
  <c r="H114" i="5"/>
  <c r="H115" i="5"/>
  <c r="H116" i="5"/>
  <c r="H117" i="5"/>
  <c r="H118" i="5"/>
  <c r="H119" i="5"/>
  <c r="H120" i="5"/>
  <c r="H121" i="5"/>
  <c r="H122" i="5"/>
  <c r="H123" i="5"/>
  <c r="H124" i="5"/>
  <c r="H125" i="5"/>
  <c r="H126" i="5"/>
  <c r="H127" i="5"/>
  <c r="H128" i="5"/>
  <c r="H129" i="5"/>
  <c r="H130" i="5"/>
  <c r="H131" i="5"/>
  <c r="H132" i="5"/>
  <c r="H133" i="5"/>
  <c r="H134" i="5"/>
  <c r="H135" i="5"/>
  <c r="H136" i="5"/>
  <c r="H137" i="5"/>
  <c r="H138" i="5"/>
  <c r="H139" i="5"/>
  <c r="H140" i="5"/>
  <c r="H141" i="5"/>
  <c r="H142" i="5"/>
  <c r="H143" i="5"/>
  <c r="H144" i="5"/>
  <c r="H145" i="5"/>
  <c r="H146" i="5"/>
  <c r="H147" i="5"/>
  <c r="H148" i="5"/>
  <c r="H149" i="5"/>
  <c r="H150" i="5"/>
  <c r="H151" i="5"/>
  <c r="H152" i="5"/>
  <c r="H153" i="5"/>
  <c r="H154" i="5"/>
  <c r="H155" i="5"/>
  <c r="H156" i="5"/>
  <c r="H157" i="5"/>
  <c r="H158" i="5"/>
  <c r="H159" i="5"/>
  <c r="H160" i="5"/>
  <c r="H161" i="5"/>
  <c r="H162" i="5"/>
  <c r="H163" i="5"/>
  <c r="H164" i="5"/>
  <c r="H165" i="5"/>
  <c r="H166" i="5"/>
  <c r="H167" i="5"/>
  <c r="H168" i="5"/>
  <c r="H169" i="5"/>
  <c r="H170" i="5"/>
  <c r="H171" i="5"/>
  <c r="H172" i="5"/>
  <c r="H173" i="5"/>
  <c r="H174" i="5"/>
  <c r="H175" i="5"/>
  <c r="H176" i="5"/>
  <c r="H177" i="5"/>
  <c r="H178" i="5"/>
  <c r="H179" i="5"/>
  <c r="H180" i="5"/>
  <c r="H181" i="5"/>
  <c r="H182" i="5"/>
  <c r="H183" i="5"/>
  <c r="H184" i="5"/>
  <c r="H185" i="5"/>
  <c r="H186" i="5"/>
  <c r="H187" i="5"/>
  <c r="H188" i="5"/>
  <c r="G2" i="5"/>
  <c r="G3" i="5"/>
  <c r="G4" i="5"/>
  <c r="G5" i="5"/>
  <c r="G6" i="5"/>
  <c r="G7" i="5"/>
  <c r="G8" i="5"/>
  <c r="G9" i="5"/>
  <c r="G10" i="5"/>
  <c r="G11" i="5"/>
  <c r="G12" i="5"/>
  <c r="G13" i="5"/>
  <c r="G14" i="5"/>
  <c r="G15" i="5"/>
  <c r="G16" i="5"/>
  <c r="G17" i="5"/>
  <c r="G18" i="5"/>
  <c r="G19" i="5"/>
  <c r="G20" i="5"/>
  <c r="G21" i="5"/>
  <c r="G22" i="5"/>
  <c r="G23" i="5"/>
  <c r="G24" i="5"/>
  <c r="G25" i="5"/>
  <c r="G26" i="5"/>
  <c r="G27" i="5"/>
  <c r="G28" i="5"/>
  <c r="G29" i="5"/>
  <c r="G30" i="5"/>
  <c r="G31" i="5"/>
  <c r="G32" i="5"/>
  <c r="G33" i="5"/>
  <c r="G34" i="5"/>
  <c r="G35" i="5"/>
  <c r="G36" i="5"/>
  <c r="G37" i="5"/>
  <c r="G38" i="5"/>
  <c r="G39" i="5"/>
  <c r="G40" i="5"/>
  <c r="G41" i="5"/>
  <c r="G42" i="5"/>
  <c r="G43" i="5"/>
  <c r="G44" i="5"/>
  <c r="G45" i="5"/>
  <c r="G46" i="5"/>
  <c r="G47" i="5"/>
  <c r="G48" i="5"/>
  <c r="G49" i="5"/>
  <c r="G50" i="5"/>
  <c r="G51" i="5"/>
  <c r="G52" i="5"/>
  <c r="G53" i="5"/>
  <c r="G54" i="5"/>
  <c r="G55" i="5"/>
  <c r="G56" i="5"/>
  <c r="G57" i="5"/>
  <c r="G58" i="5"/>
  <c r="G59" i="5"/>
  <c r="G60" i="5"/>
  <c r="G61" i="5"/>
  <c r="G62" i="5"/>
  <c r="G63" i="5"/>
  <c r="G64" i="5"/>
  <c r="G65" i="5"/>
  <c r="G66" i="5"/>
  <c r="G67" i="5"/>
  <c r="G68" i="5"/>
  <c r="G69" i="5"/>
  <c r="G70" i="5"/>
  <c r="G71" i="5"/>
  <c r="G72" i="5"/>
  <c r="G73" i="5"/>
  <c r="G74" i="5"/>
  <c r="G75" i="5"/>
  <c r="G76" i="5"/>
  <c r="G77" i="5"/>
  <c r="G78" i="5"/>
  <c r="G79" i="5"/>
  <c r="G80" i="5"/>
  <c r="G81" i="5"/>
  <c r="G82" i="5"/>
  <c r="G83" i="5"/>
  <c r="G84" i="5"/>
  <c r="G85" i="5"/>
  <c r="G86" i="5"/>
  <c r="G87" i="5"/>
  <c r="G88" i="5"/>
  <c r="G89" i="5"/>
  <c r="G90" i="5"/>
  <c r="G91" i="5"/>
  <c r="G92" i="5"/>
  <c r="G93" i="5"/>
  <c r="G94" i="5"/>
  <c r="G95" i="5"/>
  <c r="G96" i="5"/>
  <c r="G97" i="5"/>
  <c r="G98" i="5"/>
  <c r="G99" i="5"/>
  <c r="G100" i="5"/>
  <c r="G101" i="5"/>
  <c r="G102" i="5"/>
  <c r="G103" i="5"/>
  <c r="G104" i="5"/>
  <c r="G105" i="5"/>
  <c r="G106" i="5"/>
  <c r="G107" i="5"/>
  <c r="G108" i="5"/>
  <c r="G109" i="5"/>
  <c r="G110" i="5"/>
  <c r="G111" i="5"/>
  <c r="G112" i="5"/>
  <c r="G113" i="5"/>
  <c r="G114" i="5"/>
  <c r="G115" i="5"/>
  <c r="G116" i="5"/>
  <c r="G117" i="5"/>
  <c r="G118" i="5"/>
  <c r="G119" i="5"/>
  <c r="G120" i="5"/>
  <c r="G121" i="5"/>
  <c r="G122" i="5"/>
  <c r="G123" i="5"/>
  <c r="G124" i="5"/>
  <c r="G125" i="5"/>
  <c r="G126" i="5"/>
  <c r="G127" i="5"/>
  <c r="G128" i="5"/>
  <c r="G129" i="5"/>
  <c r="G130" i="5"/>
  <c r="G131" i="5"/>
  <c r="G132" i="5"/>
  <c r="G133" i="5"/>
  <c r="G134" i="5"/>
  <c r="G135" i="5"/>
  <c r="G136" i="5"/>
  <c r="G137" i="5"/>
  <c r="G138" i="5"/>
  <c r="G139" i="5"/>
  <c r="G140" i="5"/>
  <c r="G141" i="5"/>
  <c r="G142" i="5"/>
  <c r="G143" i="5"/>
  <c r="G144" i="5"/>
  <c r="G145" i="5"/>
  <c r="G146" i="5"/>
  <c r="G147" i="5"/>
  <c r="G148" i="5"/>
  <c r="G149" i="5"/>
  <c r="G150" i="5"/>
  <c r="G151" i="5"/>
  <c r="G152" i="5"/>
  <c r="G153" i="5"/>
  <c r="G154" i="5"/>
  <c r="G155" i="5"/>
  <c r="G156" i="5"/>
  <c r="G157" i="5"/>
  <c r="G158" i="5"/>
  <c r="G159" i="5"/>
  <c r="G160" i="5"/>
  <c r="G161" i="5"/>
  <c r="G162" i="5"/>
  <c r="G163" i="5"/>
  <c r="G164" i="5"/>
  <c r="G165" i="5"/>
  <c r="G166" i="5"/>
  <c r="G167" i="5"/>
  <c r="G168" i="5"/>
  <c r="G169" i="5"/>
  <c r="G170" i="5"/>
  <c r="G171" i="5"/>
  <c r="G172" i="5"/>
  <c r="G173" i="5"/>
  <c r="G174" i="5"/>
  <c r="G175" i="5"/>
  <c r="G176" i="5"/>
  <c r="G177" i="5"/>
  <c r="G178" i="5"/>
  <c r="G179" i="5"/>
  <c r="G180" i="5"/>
  <c r="G181" i="5"/>
  <c r="G182" i="5"/>
  <c r="G183" i="5"/>
  <c r="G184" i="5"/>
  <c r="G185" i="5"/>
  <c r="G186" i="5"/>
  <c r="G187" i="5"/>
  <c r="G188" i="5"/>
  <c r="F2" i="5"/>
  <c r="F3" i="5"/>
  <c r="F4" i="5"/>
  <c r="F5" i="5"/>
  <c r="F6" i="5"/>
  <c r="F7" i="5"/>
  <c r="F8" i="5"/>
  <c r="F9" i="5"/>
  <c r="F10" i="5"/>
  <c r="F11" i="5"/>
  <c r="F12" i="5"/>
  <c r="F13" i="5"/>
  <c r="F14" i="5"/>
  <c r="F15" i="5"/>
  <c r="F16" i="5"/>
  <c r="F17" i="5"/>
  <c r="F18" i="5"/>
  <c r="F19" i="5"/>
  <c r="F20" i="5"/>
  <c r="F21" i="5"/>
  <c r="F22" i="5"/>
  <c r="F23" i="5"/>
  <c r="F24" i="5"/>
  <c r="F25" i="5"/>
  <c r="F26" i="5"/>
  <c r="F27" i="5"/>
  <c r="F28" i="5"/>
  <c r="F29" i="5"/>
  <c r="F30" i="5"/>
  <c r="F31" i="5"/>
  <c r="F32" i="5"/>
  <c r="F33" i="5"/>
  <c r="F34" i="5"/>
  <c r="F35" i="5"/>
  <c r="F36" i="5"/>
  <c r="F37" i="5"/>
  <c r="F38" i="5"/>
  <c r="F39" i="5"/>
  <c r="F40" i="5"/>
  <c r="F41" i="5"/>
  <c r="F42" i="5"/>
  <c r="F43" i="5"/>
  <c r="F44" i="5"/>
  <c r="F45" i="5"/>
  <c r="F46" i="5"/>
  <c r="F47" i="5"/>
  <c r="F48" i="5"/>
  <c r="F49" i="5"/>
  <c r="F50" i="5"/>
  <c r="F51" i="5"/>
  <c r="F52" i="5"/>
  <c r="F53" i="5"/>
  <c r="F54" i="5"/>
  <c r="F55" i="5"/>
  <c r="F56" i="5"/>
  <c r="F57" i="5"/>
  <c r="F58" i="5"/>
  <c r="F59" i="5"/>
  <c r="F60" i="5"/>
  <c r="F61" i="5"/>
  <c r="F62" i="5"/>
  <c r="F63" i="5"/>
  <c r="F64" i="5"/>
  <c r="F65" i="5"/>
  <c r="F66" i="5"/>
  <c r="F67" i="5"/>
  <c r="F68" i="5"/>
  <c r="F69" i="5"/>
  <c r="F70" i="5"/>
  <c r="F71" i="5"/>
  <c r="F72" i="5"/>
  <c r="F73" i="5"/>
  <c r="F74" i="5"/>
  <c r="F75" i="5"/>
  <c r="F76" i="5"/>
  <c r="F77" i="5"/>
  <c r="F78" i="5"/>
  <c r="F79" i="5"/>
  <c r="F80" i="5"/>
  <c r="F81" i="5"/>
  <c r="F82" i="5"/>
  <c r="F83" i="5"/>
  <c r="F84" i="5"/>
  <c r="F85" i="5"/>
  <c r="F86" i="5"/>
  <c r="F87" i="5"/>
  <c r="F88" i="5"/>
  <c r="F89" i="5"/>
  <c r="F90" i="5"/>
  <c r="F91" i="5"/>
  <c r="F92" i="5"/>
  <c r="F93" i="5"/>
  <c r="F94" i="5"/>
  <c r="F95" i="5"/>
  <c r="F96" i="5"/>
  <c r="F97" i="5"/>
  <c r="F98" i="5"/>
  <c r="F99" i="5"/>
  <c r="F100" i="5"/>
  <c r="F101" i="5"/>
  <c r="F102" i="5"/>
  <c r="F103" i="5"/>
  <c r="F104" i="5"/>
  <c r="F105" i="5"/>
  <c r="F106" i="5"/>
  <c r="F107" i="5"/>
  <c r="F108" i="5"/>
  <c r="F109" i="5"/>
  <c r="F110" i="5"/>
  <c r="F111" i="5"/>
  <c r="F112" i="5"/>
  <c r="F113" i="5"/>
  <c r="F114" i="5"/>
  <c r="F115" i="5"/>
  <c r="F116" i="5"/>
  <c r="F117" i="5"/>
  <c r="F118" i="5"/>
  <c r="F119" i="5"/>
  <c r="F120" i="5"/>
  <c r="F121" i="5"/>
  <c r="F122" i="5"/>
  <c r="F123" i="5"/>
  <c r="F124" i="5"/>
  <c r="F125" i="5"/>
  <c r="F126" i="5"/>
  <c r="F127" i="5"/>
  <c r="F128" i="5"/>
  <c r="F129" i="5"/>
  <c r="F130" i="5"/>
  <c r="F131" i="5"/>
  <c r="F132" i="5"/>
  <c r="F133" i="5"/>
  <c r="F134" i="5"/>
  <c r="F135" i="5"/>
  <c r="F136" i="5"/>
  <c r="F137" i="5"/>
  <c r="F138" i="5"/>
  <c r="F139" i="5"/>
  <c r="F140" i="5"/>
  <c r="F141" i="5"/>
  <c r="F142" i="5"/>
  <c r="F143" i="5"/>
  <c r="F144" i="5"/>
  <c r="F145" i="5"/>
  <c r="F146" i="5"/>
  <c r="F147" i="5"/>
  <c r="F148" i="5"/>
  <c r="F149" i="5"/>
  <c r="F150" i="5"/>
  <c r="F151" i="5"/>
  <c r="F152" i="5"/>
  <c r="F153" i="5"/>
  <c r="F154" i="5"/>
  <c r="F155" i="5"/>
  <c r="F156" i="5"/>
  <c r="F157" i="5"/>
  <c r="F158" i="5"/>
  <c r="F159" i="5"/>
  <c r="F160" i="5"/>
  <c r="F161" i="5"/>
  <c r="F162" i="5"/>
  <c r="F163" i="5"/>
  <c r="F164" i="5"/>
  <c r="F165" i="5"/>
  <c r="F166" i="5"/>
  <c r="F167" i="5"/>
  <c r="F168" i="5"/>
  <c r="F169" i="5"/>
  <c r="F170" i="5"/>
  <c r="F171" i="5"/>
  <c r="F172" i="5"/>
  <c r="F173" i="5"/>
  <c r="F174" i="5"/>
  <c r="F175" i="5"/>
  <c r="F176" i="5"/>
  <c r="F177" i="5"/>
  <c r="F178" i="5"/>
  <c r="F179" i="5"/>
  <c r="F180" i="5"/>
  <c r="F181" i="5"/>
  <c r="F182" i="5"/>
  <c r="F183" i="5"/>
  <c r="F184" i="5"/>
  <c r="F185" i="5"/>
  <c r="F186" i="5"/>
  <c r="F187" i="5"/>
  <c r="F188" i="5"/>
  <c r="E3" i="5"/>
  <c r="E4" i="5"/>
  <c r="E5" i="5"/>
  <c r="E6" i="5"/>
  <c r="E7" i="5"/>
  <c r="E8" i="5"/>
  <c r="E9" i="5"/>
  <c r="E10" i="5"/>
  <c r="E11" i="5"/>
  <c r="E12" i="5"/>
  <c r="E13" i="5"/>
  <c r="E14" i="5"/>
  <c r="E15" i="5"/>
  <c r="E16" i="5"/>
  <c r="E17" i="5"/>
  <c r="E18" i="5"/>
  <c r="E19" i="5"/>
  <c r="E20" i="5"/>
  <c r="E21" i="5"/>
  <c r="E22" i="5"/>
  <c r="E23" i="5"/>
  <c r="E24" i="5"/>
  <c r="E25" i="5"/>
  <c r="E26" i="5"/>
  <c r="E27" i="5"/>
  <c r="E28" i="5"/>
  <c r="E29" i="5"/>
  <c r="E30" i="5"/>
  <c r="E31" i="5"/>
  <c r="E32" i="5"/>
  <c r="E33" i="5"/>
  <c r="E34" i="5"/>
  <c r="E35" i="5"/>
  <c r="E36" i="5"/>
  <c r="E37" i="5"/>
  <c r="E38" i="5"/>
  <c r="E39" i="5"/>
  <c r="E40" i="5"/>
  <c r="E41" i="5"/>
  <c r="E42" i="5"/>
  <c r="E43" i="5"/>
  <c r="E44" i="5"/>
  <c r="E45" i="5"/>
  <c r="E46" i="5"/>
  <c r="E47" i="5"/>
  <c r="E48" i="5"/>
  <c r="E49" i="5"/>
  <c r="E50" i="5"/>
  <c r="E51" i="5"/>
  <c r="E52" i="5"/>
  <c r="E53" i="5"/>
  <c r="E54" i="5"/>
  <c r="E55" i="5"/>
  <c r="E56" i="5"/>
  <c r="E57" i="5"/>
  <c r="E58" i="5"/>
  <c r="E59" i="5"/>
  <c r="E60" i="5"/>
  <c r="E61" i="5"/>
  <c r="E62" i="5"/>
  <c r="E63" i="5"/>
  <c r="E64" i="5"/>
  <c r="E65" i="5"/>
  <c r="E66" i="5"/>
  <c r="E67" i="5"/>
  <c r="E68" i="5"/>
  <c r="E69" i="5"/>
  <c r="E70" i="5"/>
  <c r="E71" i="5"/>
  <c r="E72" i="5"/>
  <c r="E73" i="5"/>
  <c r="E74" i="5"/>
  <c r="E75" i="5"/>
  <c r="E76" i="5"/>
  <c r="E77" i="5"/>
  <c r="E78" i="5"/>
  <c r="E79" i="5"/>
  <c r="E80" i="5"/>
  <c r="E81" i="5"/>
  <c r="E82" i="5"/>
  <c r="E83" i="5"/>
  <c r="E84" i="5"/>
  <c r="E85" i="5"/>
  <c r="E86" i="5"/>
  <c r="E87" i="5"/>
  <c r="E88" i="5"/>
  <c r="E89" i="5"/>
  <c r="E90" i="5"/>
  <c r="E91" i="5"/>
  <c r="E92" i="5"/>
  <c r="E93" i="5"/>
  <c r="E94" i="5"/>
  <c r="E95" i="5"/>
  <c r="E96" i="5"/>
  <c r="E97" i="5"/>
  <c r="E98" i="5"/>
  <c r="E99" i="5"/>
  <c r="E100" i="5"/>
  <c r="E101" i="5"/>
  <c r="E102" i="5"/>
  <c r="E103" i="5"/>
  <c r="E104" i="5"/>
  <c r="E105" i="5"/>
  <c r="E106" i="5"/>
  <c r="E107" i="5"/>
  <c r="E108" i="5"/>
  <c r="E109" i="5"/>
  <c r="E110" i="5"/>
  <c r="E111" i="5"/>
  <c r="E112" i="5"/>
  <c r="E113" i="5"/>
  <c r="E114" i="5"/>
  <c r="E115" i="5"/>
  <c r="E116" i="5"/>
  <c r="E117" i="5"/>
  <c r="E118" i="5"/>
  <c r="E119" i="5"/>
  <c r="E120" i="5"/>
  <c r="E121" i="5"/>
  <c r="E122" i="5"/>
  <c r="E123" i="5"/>
  <c r="E124" i="5"/>
  <c r="E125" i="5"/>
  <c r="E126" i="5"/>
  <c r="E127" i="5"/>
  <c r="E128" i="5"/>
  <c r="E129" i="5"/>
  <c r="E130" i="5"/>
  <c r="E131" i="5"/>
  <c r="E132" i="5"/>
  <c r="E133" i="5"/>
  <c r="E134" i="5"/>
  <c r="E135" i="5"/>
  <c r="E136" i="5"/>
  <c r="E137" i="5"/>
  <c r="E138" i="5"/>
  <c r="E139" i="5"/>
  <c r="E140" i="5"/>
  <c r="E141" i="5"/>
  <c r="E142" i="5"/>
  <c r="E143" i="5"/>
  <c r="E144" i="5"/>
  <c r="E145" i="5"/>
  <c r="E146" i="5"/>
  <c r="E147" i="5"/>
  <c r="E148" i="5"/>
  <c r="E149" i="5"/>
  <c r="E150" i="5"/>
  <c r="E151" i="5"/>
  <c r="E152" i="5"/>
  <c r="E153" i="5"/>
  <c r="E154" i="5"/>
  <c r="E155" i="5"/>
  <c r="E156" i="5"/>
  <c r="E157" i="5"/>
  <c r="E158" i="5"/>
  <c r="E159" i="5"/>
  <c r="E160" i="5"/>
  <c r="E161" i="5"/>
  <c r="E162" i="5"/>
  <c r="E163" i="5"/>
  <c r="E164" i="5"/>
  <c r="E165" i="5"/>
  <c r="E166" i="5"/>
  <c r="E167" i="5"/>
  <c r="E168" i="5"/>
  <c r="E169" i="5"/>
  <c r="E170" i="5"/>
  <c r="E171" i="5"/>
  <c r="E172" i="5"/>
  <c r="E173" i="5"/>
  <c r="E174" i="5"/>
  <c r="E175" i="5"/>
  <c r="E176" i="5"/>
  <c r="E177" i="5"/>
  <c r="E178" i="5"/>
  <c r="E179" i="5"/>
  <c r="E180" i="5"/>
  <c r="E181" i="5"/>
  <c r="E182" i="5"/>
  <c r="E183" i="5"/>
  <c r="E184" i="5"/>
  <c r="E185" i="5"/>
  <c r="E186" i="5"/>
  <c r="E187" i="5"/>
  <c r="E188" i="5"/>
  <c r="E2" i="5"/>
  <c r="D2" i="5"/>
  <c r="D3" i="5"/>
  <c r="D4" i="5"/>
  <c r="D5" i="5"/>
  <c r="D6" i="5"/>
  <c r="D7" i="5"/>
  <c r="D8" i="5"/>
  <c r="D9" i="5"/>
  <c r="D10" i="5"/>
  <c r="D11" i="5"/>
  <c r="D12" i="5"/>
  <c r="D13" i="5"/>
  <c r="D14" i="5"/>
  <c r="D15" i="5"/>
  <c r="D16" i="5"/>
  <c r="D17" i="5"/>
  <c r="D18" i="5"/>
  <c r="D19" i="5"/>
  <c r="D20" i="5"/>
  <c r="D21" i="5"/>
  <c r="D22" i="5"/>
  <c r="D23" i="5"/>
  <c r="D24" i="5"/>
  <c r="D25" i="5"/>
  <c r="D26" i="5"/>
  <c r="D27" i="5"/>
  <c r="D28" i="5"/>
  <c r="D29" i="5"/>
  <c r="D30" i="5"/>
  <c r="D31" i="5"/>
  <c r="D32" i="5"/>
  <c r="D33" i="5"/>
  <c r="D34" i="5"/>
  <c r="D35" i="5"/>
  <c r="D36" i="5"/>
  <c r="D37" i="5"/>
  <c r="D38" i="5"/>
  <c r="D39" i="5"/>
  <c r="D40" i="5"/>
  <c r="D41" i="5"/>
  <c r="D42" i="5"/>
  <c r="D43" i="5"/>
  <c r="D44" i="5"/>
  <c r="D45" i="5"/>
  <c r="D46" i="5"/>
  <c r="D47" i="5"/>
  <c r="D48" i="5"/>
  <c r="D49" i="5"/>
  <c r="D50" i="5"/>
  <c r="D51" i="5"/>
  <c r="D52" i="5"/>
  <c r="D53" i="5"/>
  <c r="D54" i="5"/>
  <c r="D55" i="5"/>
  <c r="D56" i="5"/>
  <c r="D57" i="5"/>
  <c r="D58" i="5"/>
  <c r="D59" i="5"/>
  <c r="D60" i="5"/>
  <c r="D61" i="5"/>
  <c r="D62" i="5"/>
  <c r="D63" i="5"/>
  <c r="D64" i="5"/>
  <c r="D65" i="5"/>
  <c r="D66" i="5"/>
  <c r="D67" i="5"/>
  <c r="D68" i="5"/>
  <c r="D69" i="5"/>
  <c r="D70" i="5"/>
  <c r="D71" i="5"/>
  <c r="D72" i="5"/>
  <c r="D73" i="5"/>
  <c r="D74" i="5"/>
  <c r="D75" i="5"/>
  <c r="D76" i="5"/>
  <c r="D77" i="5"/>
  <c r="D78" i="5"/>
  <c r="D79" i="5"/>
  <c r="D80" i="5"/>
  <c r="D81" i="5"/>
  <c r="D82" i="5"/>
  <c r="D83" i="5"/>
  <c r="D84" i="5"/>
  <c r="D85" i="5"/>
  <c r="D86" i="5"/>
  <c r="D87" i="5"/>
  <c r="D88" i="5"/>
  <c r="D89" i="5"/>
  <c r="D90" i="5"/>
  <c r="D91" i="5"/>
  <c r="D92" i="5"/>
  <c r="D93" i="5"/>
  <c r="D94" i="5"/>
  <c r="D95" i="5"/>
  <c r="D96" i="5"/>
  <c r="D97" i="5"/>
  <c r="D98" i="5"/>
  <c r="D99" i="5"/>
  <c r="D100" i="5"/>
  <c r="D101" i="5"/>
  <c r="D102" i="5"/>
  <c r="D103" i="5"/>
  <c r="D104" i="5"/>
  <c r="D105" i="5"/>
  <c r="D106" i="5"/>
  <c r="D107" i="5"/>
  <c r="D108" i="5"/>
  <c r="D109" i="5"/>
  <c r="D110" i="5"/>
  <c r="D111" i="5"/>
  <c r="D112" i="5"/>
  <c r="D113" i="5"/>
  <c r="D114" i="5"/>
  <c r="D115" i="5"/>
  <c r="D116" i="5"/>
  <c r="D117" i="5"/>
  <c r="D118" i="5"/>
  <c r="D119" i="5"/>
  <c r="D120" i="5"/>
  <c r="D121" i="5"/>
  <c r="D122" i="5"/>
  <c r="D123" i="5"/>
  <c r="D124" i="5"/>
  <c r="D125" i="5"/>
  <c r="D126" i="5"/>
  <c r="D127" i="5"/>
  <c r="D128" i="5"/>
  <c r="D129" i="5"/>
  <c r="D130" i="5"/>
  <c r="D131" i="5"/>
  <c r="D132" i="5"/>
  <c r="D133" i="5"/>
  <c r="D134" i="5"/>
  <c r="D135" i="5"/>
  <c r="D136" i="5"/>
  <c r="D137" i="5"/>
  <c r="D138" i="5"/>
  <c r="D139" i="5"/>
  <c r="D140" i="5"/>
  <c r="D141" i="5"/>
  <c r="D142" i="5"/>
  <c r="D143" i="5"/>
  <c r="D144" i="5"/>
  <c r="D145" i="5"/>
  <c r="D146" i="5"/>
  <c r="D147" i="5"/>
  <c r="D148" i="5"/>
  <c r="D149" i="5"/>
  <c r="D150" i="5"/>
  <c r="D151" i="5"/>
  <c r="D152" i="5"/>
  <c r="D153" i="5"/>
  <c r="D154" i="5"/>
  <c r="D155" i="5"/>
  <c r="D156" i="5"/>
  <c r="D157" i="5"/>
  <c r="D158" i="5"/>
  <c r="D159" i="5"/>
  <c r="D160" i="5"/>
  <c r="D161" i="5"/>
  <c r="D162" i="5"/>
  <c r="D163" i="5"/>
  <c r="D164" i="5"/>
  <c r="D165" i="5"/>
  <c r="D166" i="5"/>
  <c r="D167" i="5"/>
  <c r="D168" i="5"/>
  <c r="D169" i="5"/>
  <c r="D170" i="5"/>
  <c r="D171" i="5"/>
  <c r="D172" i="5"/>
  <c r="D173" i="5"/>
  <c r="D174" i="5"/>
  <c r="D175" i="5"/>
  <c r="D176" i="5"/>
  <c r="D177" i="5"/>
  <c r="D178" i="5"/>
  <c r="D179" i="5"/>
  <c r="D180" i="5"/>
  <c r="D181" i="5"/>
  <c r="D182" i="5"/>
  <c r="D183" i="5"/>
  <c r="D184" i="5"/>
  <c r="D185" i="5"/>
  <c r="D186" i="5"/>
  <c r="D187" i="5"/>
  <c r="D188" i="5"/>
  <c r="C3" i="5"/>
  <c r="C4" i="5"/>
  <c r="C5" i="5"/>
  <c r="C6" i="5"/>
  <c r="C7" i="5"/>
  <c r="C8" i="5"/>
  <c r="C9" i="5"/>
  <c r="C10" i="5"/>
  <c r="C11" i="5"/>
  <c r="C12" i="5"/>
  <c r="C13" i="5"/>
  <c r="C14" i="5"/>
  <c r="C15" i="5"/>
  <c r="C16" i="5"/>
  <c r="C17" i="5"/>
  <c r="C18" i="5"/>
  <c r="C19" i="5"/>
  <c r="C20" i="5"/>
  <c r="C21" i="5"/>
  <c r="C22" i="5"/>
  <c r="C23" i="5"/>
  <c r="C24" i="5"/>
  <c r="C25" i="5"/>
  <c r="C26" i="5"/>
  <c r="C27" i="5"/>
  <c r="C28" i="5"/>
  <c r="C29" i="5"/>
  <c r="C30" i="5"/>
  <c r="C31" i="5"/>
  <c r="C32" i="5"/>
  <c r="C33" i="5"/>
  <c r="C34" i="5"/>
  <c r="C35" i="5"/>
  <c r="C36" i="5"/>
  <c r="C37" i="5"/>
  <c r="C38" i="5"/>
  <c r="C39" i="5"/>
  <c r="C40" i="5"/>
  <c r="C41" i="5"/>
  <c r="C42" i="5"/>
  <c r="C43" i="5"/>
  <c r="C44" i="5"/>
  <c r="C45" i="5"/>
  <c r="C46" i="5"/>
  <c r="C47" i="5"/>
  <c r="C48" i="5"/>
  <c r="C49" i="5"/>
  <c r="C50" i="5"/>
  <c r="C51" i="5"/>
  <c r="C52" i="5"/>
  <c r="C53" i="5"/>
  <c r="C54" i="5"/>
  <c r="C55" i="5"/>
  <c r="C56" i="5"/>
  <c r="C57" i="5"/>
  <c r="C58" i="5"/>
  <c r="C59" i="5"/>
  <c r="C60" i="5"/>
  <c r="C61" i="5"/>
  <c r="C62" i="5"/>
  <c r="C63" i="5"/>
  <c r="C64" i="5"/>
  <c r="C65" i="5"/>
  <c r="C66" i="5"/>
  <c r="C67" i="5"/>
  <c r="C68" i="5"/>
  <c r="C69" i="5"/>
  <c r="C70" i="5"/>
  <c r="C71" i="5"/>
  <c r="C72" i="5"/>
  <c r="C73" i="5"/>
  <c r="C74" i="5"/>
  <c r="C75" i="5"/>
  <c r="C76" i="5"/>
  <c r="C77" i="5"/>
  <c r="C78" i="5"/>
  <c r="C79" i="5"/>
  <c r="C80" i="5"/>
  <c r="C81" i="5"/>
  <c r="C82" i="5"/>
  <c r="C83" i="5"/>
  <c r="C84" i="5"/>
  <c r="C85" i="5"/>
  <c r="C86" i="5"/>
  <c r="C87" i="5"/>
  <c r="C88" i="5"/>
  <c r="C89" i="5"/>
  <c r="C90" i="5"/>
  <c r="C91" i="5"/>
  <c r="C92" i="5"/>
  <c r="C93" i="5"/>
  <c r="C94" i="5"/>
  <c r="C95" i="5"/>
  <c r="C96" i="5"/>
  <c r="C97" i="5"/>
  <c r="C98" i="5"/>
  <c r="C99" i="5"/>
  <c r="C100" i="5"/>
  <c r="C101" i="5"/>
  <c r="C102" i="5"/>
  <c r="C103" i="5"/>
  <c r="C104" i="5"/>
  <c r="C105" i="5"/>
  <c r="C106" i="5"/>
  <c r="C107" i="5"/>
  <c r="C108" i="5"/>
  <c r="C109" i="5"/>
  <c r="C110" i="5"/>
  <c r="C111" i="5"/>
  <c r="C112" i="5"/>
  <c r="C113" i="5"/>
  <c r="C114" i="5"/>
  <c r="C115" i="5"/>
  <c r="C116" i="5"/>
  <c r="C117" i="5"/>
  <c r="C118" i="5"/>
  <c r="C119" i="5"/>
  <c r="C120" i="5"/>
  <c r="C121" i="5"/>
  <c r="C122" i="5"/>
  <c r="C123" i="5"/>
  <c r="C124" i="5"/>
  <c r="C125" i="5"/>
  <c r="C126" i="5"/>
  <c r="C127" i="5"/>
  <c r="C128" i="5"/>
  <c r="C129" i="5"/>
  <c r="C130" i="5"/>
  <c r="C131" i="5"/>
  <c r="C132" i="5"/>
  <c r="C133" i="5"/>
  <c r="C134" i="5"/>
  <c r="C135" i="5"/>
  <c r="C136" i="5"/>
  <c r="C137" i="5"/>
  <c r="C138" i="5"/>
  <c r="C139" i="5"/>
  <c r="C140" i="5"/>
  <c r="C141" i="5"/>
  <c r="C142" i="5"/>
  <c r="C143" i="5"/>
  <c r="C144" i="5"/>
  <c r="C145" i="5"/>
  <c r="C146" i="5"/>
  <c r="C147" i="5"/>
  <c r="C148" i="5"/>
  <c r="C149" i="5"/>
  <c r="C150" i="5"/>
  <c r="C151" i="5"/>
  <c r="C152" i="5"/>
  <c r="C153" i="5"/>
  <c r="C154" i="5"/>
  <c r="C155" i="5"/>
  <c r="C156" i="5"/>
  <c r="C157" i="5"/>
  <c r="C158" i="5"/>
  <c r="C159" i="5"/>
  <c r="C160" i="5"/>
  <c r="C161" i="5"/>
  <c r="C162" i="5"/>
  <c r="C163" i="5"/>
  <c r="C164" i="5"/>
  <c r="C165" i="5"/>
  <c r="C166" i="5"/>
  <c r="C167" i="5"/>
  <c r="C168" i="5"/>
  <c r="C169" i="5"/>
  <c r="C170" i="5"/>
  <c r="C171" i="5"/>
  <c r="C172" i="5"/>
  <c r="C173" i="5"/>
  <c r="C174" i="5"/>
  <c r="C175" i="5"/>
  <c r="C176" i="5"/>
  <c r="C177" i="5"/>
  <c r="C178" i="5"/>
  <c r="C179" i="5"/>
  <c r="C180" i="5"/>
  <c r="C181" i="5"/>
  <c r="C182" i="5"/>
  <c r="C183" i="5"/>
  <c r="C184" i="5"/>
  <c r="C185" i="5"/>
  <c r="C186" i="5"/>
  <c r="C187" i="5"/>
  <c r="C188" i="5"/>
  <c r="C2" i="5"/>
</calcChain>
</file>

<file path=xl/sharedStrings.xml><?xml version="1.0" encoding="utf-8"?>
<sst xmlns="http://schemas.openxmlformats.org/spreadsheetml/2006/main" count="133" uniqueCount="30">
  <si>
    <t>Classification</t>
  </si>
  <si>
    <t>Pay Point</t>
  </si>
  <si>
    <t>APS 1</t>
  </si>
  <si>
    <t>–</t>
  </si>
  <si>
    <t>APS 2</t>
  </si>
  <si>
    <t>APS 3</t>
  </si>
  <si>
    <t>APS 3 (TO L2)</t>
  </si>
  <si>
    <t>APS 4</t>
  </si>
  <si>
    <t>APS 5</t>
  </si>
  <si>
    <t>APS 6</t>
  </si>
  <si>
    <t>EL1</t>
  </si>
  <si>
    <t>EL2 Lower</t>
  </si>
  <si>
    <t>EL2 Upper</t>
  </si>
  <si>
    <t>Existing</t>
  </si>
  <si>
    <t>4 (TO2)</t>
  </si>
  <si>
    <t>5 (TO2)</t>
  </si>
  <si>
    <t>6 (TO2)</t>
  </si>
  <si>
    <t>Date</t>
  </si>
  <si>
    <t>Percentage Change from Previous Period ;  Employee households ;  All groups ;</t>
  </si>
  <si>
    <t>Pay Date</t>
  </si>
  <si>
    <t>Fortnightly CPI</t>
  </si>
  <si>
    <t>Fortnightly SLCI</t>
  </si>
  <si>
    <t>EL1 Fortnightly Pay</t>
  </si>
  <si>
    <t>APS6 Fortnightly Pay</t>
  </si>
  <si>
    <t>APS5 Fortnightly Pay</t>
  </si>
  <si>
    <t>APS4 Fortnightly Pay</t>
  </si>
  <si>
    <t>APS3 Fortnightly Pay</t>
  </si>
  <si>
    <t>Percentage Change from Previous Period ; All groups CPI ; Australia ;</t>
  </si>
  <si>
    <t>EL2 L Fortnightly Pay</t>
  </si>
  <si>
    <t>EL2 U Fortnightly Pay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</si>
</sst>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4" formatCode="_-&quot;$&quot;* #,##0.00_-;\-&quot;$&quot;* #,##0.00_-;_-&quot;$&quot;* &quot;-&quot;??_-;_-@_-"/>
    <numFmt numFmtId="164" formatCode="_-&quot;$&quot;* #,##0.0_-;\-&quot;$&quot;* #,##0.0_-;_-&quot;$&quot;* &quot;-&quot;??_-;_-@_-"/>
    <numFmt numFmtId="165" formatCode="_-&quot;$&quot;* #,##0_-;\-&quot;$&quot;* #,##0_-;_-&quot;$&quot;* &quot;-&quot;??_-;_-@_-"/>
    <numFmt numFmtId="166" formatCode="dd/mm/yyyy"/>
    <numFmt numFmtId="167" formatCode="0.0;\-0.0;0.0;@"/>
  </numFmts>
  <fonts count="1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Segoe UI"/>
      <family val="2"/>
    </font>
    <font>
      <sz val="11"/>
      <color theme="1"/>
      <name val="Segoe UI"/>
      <family val="2"/>
    </font>
    <font>
      <sz val="8"/>
      <color theme="1"/>
      <name val="Arial"/>
    </font>
    <font>
      <sz val="8"/>
      <color theme="1"/>
      <name val="Arial"/>
      <family val="2"/>
    </font>
    <font>
      <sz val="11"/>
      <color theme="1"/>
      <name val="Aptos Narrow"/>
      <scheme val="minor"/>
    </font>
    <font>
      <sz val="10"/>
      <color theme="1"/>
      <name val="Arial"/>
    </font>
    <font>
      <sz val="10"/>
      <color theme="1"/>
      <name val="Aptos Narrow"/>
      <scheme val="minor"/>
    </font>
    <font>
      <sz val="8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F5F5F5"/>
        <bgColor indexed="64"/>
      </patternFill>
    </fill>
  </fills>
  <borders count="4">
    <border>
      <left/>
      <right/>
      <top/>
      <bottom/>
      <diagonal/>
    </border>
    <border>
      <left style="medium">
        <color rgb="FFE6E6E6"/>
      </left>
      <right style="medium">
        <color rgb="FFE6E6E6"/>
      </right>
      <top style="medium">
        <color rgb="FFE6E6E6"/>
      </top>
      <bottom style="medium">
        <color rgb="FFE6E6E6"/>
      </bottom>
      <diagonal/>
    </border>
    <border>
      <left style="medium">
        <color rgb="FFE6E6E6"/>
      </left>
      <right style="medium">
        <color rgb="FFE6E6E6"/>
      </right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0" fontId="6" fillId="0" borderId="0"/>
  </cellStyleXfs>
  <cellXfs count="22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15" fontId="2" fillId="2" borderId="1" xfId="0" applyNumberFormat="1" applyFont="1" applyFill="1" applyBorder="1" applyAlignment="1">
      <alignment horizontal="center" vertical="center" wrapText="1"/>
    </xf>
    <xf numFmtId="0" fontId="3" fillId="0" borderId="1" xfId="0" applyFont="1" applyBorder="1" applyAlignment="1">
      <alignment vertical="center" wrapText="1"/>
    </xf>
    <xf numFmtId="3" fontId="3" fillId="0" borderId="1" xfId="0" applyNumberFormat="1" applyFont="1" applyBorder="1" applyAlignment="1">
      <alignment vertical="center" wrapText="1"/>
    </xf>
    <xf numFmtId="3" fontId="3" fillId="0" borderId="2" xfId="0" applyNumberFormat="1" applyFont="1" applyBorder="1" applyAlignment="1">
      <alignment vertical="center" wrapText="1"/>
    </xf>
    <xf numFmtId="0" fontId="3" fillId="0" borderId="2" xfId="0" applyFont="1" applyBorder="1" applyAlignment="1">
      <alignment vertical="center" wrapText="1"/>
    </xf>
    <xf numFmtId="14" fontId="0" fillId="0" borderId="0" xfId="0" applyNumberFormat="1"/>
    <xf numFmtId="164" fontId="0" fillId="0" borderId="0" xfId="1" applyNumberFormat="1" applyFont="1"/>
    <xf numFmtId="165" fontId="0" fillId="0" borderId="0" xfId="1" applyNumberFormat="1" applyFont="1"/>
    <xf numFmtId="0" fontId="4" fillId="0" borderId="0" xfId="0" applyFont="1"/>
    <xf numFmtId="0" fontId="4" fillId="0" borderId="0" xfId="0" applyFont="1" applyAlignment="1">
      <alignment horizontal="right" wrapText="1"/>
    </xf>
    <xf numFmtId="166" fontId="4" fillId="0" borderId="0" xfId="0" applyNumberFormat="1" applyFont="1"/>
    <xf numFmtId="167" fontId="5" fillId="0" borderId="0" xfId="0" applyNumberFormat="1" applyFont="1"/>
    <xf numFmtId="166" fontId="6" fillId="0" borderId="0" xfId="2" applyNumberFormat="1"/>
    <xf numFmtId="0" fontId="7" fillId="0" borderId="3" xfId="2" applyFont="1" applyBorder="1" applyAlignment="1">
      <alignment wrapText="1"/>
    </xf>
    <xf numFmtId="0" fontId="8" fillId="0" borderId="0" xfId="0" applyFont="1"/>
    <xf numFmtId="0" fontId="9" fillId="0" borderId="0" xfId="0" applyFont="1" applyAlignment="1">
      <alignment horizontal="right" wrapText="1"/>
    </xf>
    <xf numFmtId="166" fontId="9" fillId="0" borderId="0" xfId="0" applyNumberFormat="1" applyFont="1" applyAlignment="1">
      <alignment horizontal="left"/>
    </xf>
    <xf numFmtId="0" fontId="9" fillId="0" borderId="0" xfId="0" applyFont="1" applyAlignment="1">
      <alignment horizontal="right"/>
    </xf>
    <xf numFmtId="2" fontId="0" fillId="0" borderId="0" xfId="1" applyNumberFormat="1" applyFont="1"/>
    <xf numFmtId="2" fontId="0" fillId="0" borderId="0" xfId="0" applyNumberFormat="1"/>
  </cellXfs>
  <cellStyles count="3">
    <cellStyle name="Currency" xfId="1" builtinId="4"/>
    <cellStyle name="Normal" xfId="0" builtinId="0"/>
    <cellStyle name="Normal 2" xfId="2" xr:uid="{B6C22018-10AE-454A-88AB-94387CD5376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03F24C-D71D-4657-AE47-41695DD706F8}">
  <dimension ref="A1:K42"/>
  <sheetViews>
    <sheetView workbookViewId="0">
      <selection sqref="A1:J42"/>
    </sheetView>
  </sheetViews>
  <sheetFormatPr defaultRowHeight="14.5" x14ac:dyDescent="0.35"/>
  <cols>
    <col min="4" max="5" width="11.1796875" bestFit="1" customWidth="1"/>
    <col min="6" max="6" width="11.54296875" bestFit="1" customWidth="1"/>
    <col min="7" max="7" width="11.7265625" bestFit="1" customWidth="1"/>
    <col min="8" max="10" width="11.54296875" bestFit="1" customWidth="1"/>
  </cols>
  <sheetData>
    <row r="1" spans="1:11" ht="33.5" thickBot="1" x14ac:dyDescent="0.4">
      <c r="A1" s="1" t="s">
        <v>0</v>
      </c>
      <c r="B1" s="1" t="s">
        <v>1</v>
      </c>
      <c r="C1" s="1" t="s">
        <v>13</v>
      </c>
      <c r="D1" s="2">
        <v>43722</v>
      </c>
      <c r="E1" s="2">
        <v>44088</v>
      </c>
      <c r="F1" s="2">
        <v>44269</v>
      </c>
      <c r="G1" s="2">
        <v>45169</v>
      </c>
      <c r="H1" s="2">
        <v>45365</v>
      </c>
      <c r="I1" s="2">
        <v>45729</v>
      </c>
      <c r="J1" s="2">
        <v>46093</v>
      </c>
    </row>
    <row r="2" spans="1:11" ht="17" thickBot="1" x14ac:dyDescent="0.4">
      <c r="A2" s="3" t="s">
        <v>2</v>
      </c>
      <c r="B2" s="3">
        <v>1</v>
      </c>
      <c r="C2" s="4">
        <v>43119</v>
      </c>
      <c r="D2" s="4">
        <v>44628</v>
      </c>
      <c r="E2" s="4">
        <v>45297</v>
      </c>
      <c r="F2" s="4">
        <v>45750</v>
      </c>
      <c r="G2" s="4">
        <v>48022</v>
      </c>
      <c r="H2" s="4">
        <v>52000</v>
      </c>
      <c r="I2" s="4">
        <v>54516</v>
      </c>
      <c r="J2" s="4">
        <v>57497</v>
      </c>
    </row>
    <row r="3" spans="1:11" ht="17" thickBot="1" x14ac:dyDescent="0.4">
      <c r="A3" s="3" t="s">
        <v>2</v>
      </c>
      <c r="B3" s="3">
        <v>2</v>
      </c>
      <c r="C3" s="4">
        <v>44286</v>
      </c>
      <c r="D3" s="4">
        <v>45836</v>
      </c>
      <c r="E3" s="4">
        <v>46524</v>
      </c>
      <c r="F3" s="4">
        <v>46989</v>
      </c>
      <c r="G3" s="4">
        <v>49323</v>
      </c>
      <c r="H3" s="4">
        <v>52000</v>
      </c>
      <c r="I3" s="4">
        <v>54516</v>
      </c>
      <c r="J3" s="4">
        <v>57688</v>
      </c>
    </row>
    <row r="4" spans="1:11" ht="17" thickBot="1" x14ac:dyDescent="0.4">
      <c r="A4" s="3" t="s">
        <v>2</v>
      </c>
      <c r="B4" s="3">
        <v>3</v>
      </c>
      <c r="C4" s="4">
        <v>47982</v>
      </c>
      <c r="D4" s="4">
        <v>49661</v>
      </c>
      <c r="E4" s="4">
        <v>50406</v>
      </c>
      <c r="F4" s="4">
        <v>50910</v>
      </c>
      <c r="G4" s="3" t="s">
        <v>3</v>
      </c>
      <c r="H4" s="4">
        <v>53438</v>
      </c>
      <c r="I4" s="4">
        <v>55576</v>
      </c>
      <c r="J4" s="4">
        <v>59649</v>
      </c>
    </row>
    <row r="5" spans="1:11" ht="17" thickBot="1" x14ac:dyDescent="0.4">
      <c r="A5" s="3" t="s">
        <v>2</v>
      </c>
      <c r="B5" s="3">
        <v>4</v>
      </c>
      <c r="C5" s="3" t="s">
        <v>3</v>
      </c>
      <c r="D5" s="3" t="s">
        <v>3</v>
      </c>
      <c r="E5" s="3" t="s">
        <v>3</v>
      </c>
      <c r="F5" s="3" t="s">
        <v>3</v>
      </c>
      <c r="G5" s="3" t="s">
        <v>3</v>
      </c>
      <c r="H5" s="3" t="s">
        <v>3</v>
      </c>
      <c r="I5" s="4">
        <v>57787</v>
      </c>
      <c r="J5" s="4">
        <v>60946</v>
      </c>
    </row>
    <row r="6" spans="1:11" ht="17" thickBot="1" x14ac:dyDescent="0.4">
      <c r="A6" s="3" t="s">
        <v>4</v>
      </c>
      <c r="B6" s="3">
        <v>1</v>
      </c>
      <c r="C6" s="4">
        <v>49786</v>
      </c>
      <c r="D6" s="4">
        <v>51529</v>
      </c>
      <c r="E6" s="4">
        <v>52302</v>
      </c>
      <c r="F6" s="4">
        <v>52825</v>
      </c>
      <c r="G6" s="4">
        <v>55448</v>
      </c>
      <c r="H6" s="4">
        <v>57666</v>
      </c>
      <c r="I6" s="4">
        <v>59857</v>
      </c>
      <c r="J6" s="4">
        <v>62775</v>
      </c>
    </row>
    <row r="7" spans="1:11" ht="17" thickBot="1" x14ac:dyDescent="0.4">
      <c r="A7" s="3" t="s">
        <v>4</v>
      </c>
      <c r="B7" s="3">
        <v>2</v>
      </c>
      <c r="C7" s="4">
        <v>51079</v>
      </c>
      <c r="D7" s="4">
        <v>52867</v>
      </c>
      <c r="E7" s="4">
        <v>53660</v>
      </c>
      <c r="F7" s="4">
        <v>54197</v>
      </c>
      <c r="G7" s="4">
        <v>56888</v>
      </c>
      <c r="H7" s="4">
        <v>59164</v>
      </c>
      <c r="I7" s="4">
        <v>61412</v>
      </c>
      <c r="J7" s="4">
        <v>63500</v>
      </c>
    </row>
    <row r="8" spans="1:11" ht="17" thickBot="1" x14ac:dyDescent="0.4">
      <c r="A8" s="3" t="s">
        <v>4</v>
      </c>
      <c r="B8" s="3">
        <v>3</v>
      </c>
      <c r="C8" s="4">
        <v>54564</v>
      </c>
      <c r="D8" s="4">
        <v>56474</v>
      </c>
      <c r="E8" s="4">
        <v>57321</v>
      </c>
      <c r="F8" s="4">
        <v>57894</v>
      </c>
      <c r="G8" s="4">
        <v>60769</v>
      </c>
      <c r="H8" s="4">
        <v>63200</v>
      </c>
      <c r="I8" s="4">
        <v>65602</v>
      </c>
      <c r="J8" s="4">
        <v>67832</v>
      </c>
    </row>
    <row r="9" spans="1:11" ht="17" thickBot="1" x14ac:dyDescent="0.4">
      <c r="A9" s="3" t="s">
        <v>4</v>
      </c>
      <c r="B9" s="3">
        <v>4</v>
      </c>
      <c r="C9" s="4">
        <v>54671</v>
      </c>
      <c r="D9" s="4">
        <v>56584</v>
      </c>
      <c r="E9" s="4">
        <v>57433</v>
      </c>
      <c r="F9" s="4">
        <v>58007</v>
      </c>
      <c r="G9" s="3" t="s">
        <v>3</v>
      </c>
      <c r="H9" s="3" t="s">
        <v>3</v>
      </c>
      <c r="I9" s="3" t="s">
        <v>3</v>
      </c>
      <c r="J9" s="4">
        <v>68425</v>
      </c>
    </row>
    <row r="10" spans="1:11" ht="17" thickBot="1" x14ac:dyDescent="0.4">
      <c r="A10" s="3" t="s">
        <v>5</v>
      </c>
      <c r="B10" s="3">
        <v>1</v>
      </c>
      <c r="C10" s="4">
        <v>55174</v>
      </c>
      <c r="D10" s="4">
        <v>57105</v>
      </c>
      <c r="E10" s="4">
        <v>57962</v>
      </c>
      <c r="F10" s="4">
        <v>58542</v>
      </c>
      <c r="G10" s="4">
        <v>61449</v>
      </c>
      <c r="H10" s="4">
        <v>63907</v>
      </c>
      <c r="I10" s="4">
        <v>66823</v>
      </c>
      <c r="J10" s="4">
        <v>70477</v>
      </c>
    </row>
    <row r="11" spans="1:11" ht="17" thickBot="1" x14ac:dyDescent="0.4">
      <c r="A11" s="3" t="s">
        <v>5</v>
      </c>
      <c r="B11" s="3">
        <v>2</v>
      </c>
      <c r="C11" s="4">
        <v>56574</v>
      </c>
      <c r="D11" s="4">
        <v>58554</v>
      </c>
      <c r="E11" s="4">
        <v>59432</v>
      </c>
      <c r="F11" s="4">
        <v>60026</v>
      </c>
      <c r="G11" s="4">
        <v>63006</v>
      </c>
      <c r="H11" s="4">
        <v>65526</v>
      </c>
      <c r="I11" s="4">
        <v>68016</v>
      </c>
      <c r="J11" s="4">
        <v>70477</v>
      </c>
    </row>
    <row r="12" spans="1:11" ht="17" thickBot="1" x14ac:dyDescent="0.4">
      <c r="A12" s="3" t="s">
        <v>5</v>
      </c>
      <c r="B12" s="3">
        <v>3</v>
      </c>
      <c r="C12" s="4">
        <v>60428</v>
      </c>
      <c r="D12" s="4">
        <v>62543</v>
      </c>
      <c r="E12" s="4">
        <v>63481</v>
      </c>
      <c r="F12" s="4">
        <v>64116</v>
      </c>
      <c r="G12" s="4">
        <v>67299</v>
      </c>
      <c r="H12" s="4">
        <v>69991</v>
      </c>
      <c r="I12" s="4">
        <v>72651</v>
      </c>
      <c r="J12" s="4">
        <v>75121</v>
      </c>
    </row>
    <row r="13" spans="1:11" ht="17" thickBot="1" x14ac:dyDescent="0.4">
      <c r="A13" s="3" t="s">
        <v>5</v>
      </c>
      <c r="B13" s="6">
        <v>4</v>
      </c>
      <c r="C13" s="4" t="s">
        <v>3</v>
      </c>
      <c r="D13" s="4" t="s">
        <v>3</v>
      </c>
      <c r="E13" s="4" t="s">
        <v>3</v>
      </c>
      <c r="F13" s="4" t="s">
        <v>3</v>
      </c>
      <c r="G13" s="4" t="s">
        <v>3</v>
      </c>
      <c r="H13" s="3" t="s">
        <v>3</v>
      </c>
      <c r="I13" s="5">
        <v>72837</v>
      </c>
      <c r="J13" s="5">
        <v>76820</v>
      </c>
    </row>
    <row r="14" spans="1:11" ht="33.5" thickBot="1" x14ac:dyDescent="0.4">
      <c r="A14" s="3" t="s">
        <v>6</v>
      </c>
      <c r="B14" s="3">
        <v>1</v>
      </c>
      <c r="C14" s="4">
        <v>55174</v>
      </c>
      <c r="D14" s="4">
        <v>57105</v>
      </c>
      <c r="E14" s="4">
        <v>57962</v>
      </c>
      <c r="F14" s="4">
        <v>58542</v>
      </c>
      <c r="G14" s="4">
        <v>61449</v>
      </c>
      <c r="H14" s="4">
        <v>63907</v>
      </c>
      <c r="I14" s="4">
        <v>66823</v>
      </c>
      <c r="J14" s="4">
        <v>70477</v>
      </c>
    </row>
    <row r="15" spans="1:11" ht="33.5" thickBot="1" x14ac:dyDescent="0.4">
      <c r="A15" s="3" t="s">
        <v>6</v>
      </c>
      <c r="B15" s="3">
        <v>2</v>
      </c>
      <c r="C15" s="4">
        <v>56574</v>
      </c>
      <c r="D15" s="4">
        <v>58554</v>
      </c>
      <c r="E15" s="4">
        <v>59432</v>
      </c>
      <c r="F15" s="4">
        <v>60026</v>
      </c>
      <c r="G15" s="4">
        <v>63006</v>
      </c>
      <c r="H15" s="4">
        <v>65526</v>
      </c>
      <c r="I15" s="4">
        <v>68016</v>
      </c>
      <c r="J15" s="4">
        <v>70477</v>
      </c>
    </row>
    <row r="16" spans="1:11" ht="33.5" thickBot="1" x14ac:dyDescent="0.4">
      <c r="A16" s="3" t="s">
        <v>6</v>
      </c>
      <c r="B16" s="3">
        <v>3</v>
      </c>
      <c r="C16" s="4">
        <v>60428</v>
      </c>
      <c r="D16" s="4">
        <v>62543</v>
      </c>
      <c r="E16" s="4">
        <v>63481</v>
      </c>
      <c r="F16" s="4">
        <v>64116</v>
      </c>
      <c r="G16" s="4">
        <v>67299</v>
      </c>
      <c r="H16" s="4">
        <v>69991</v>
      </c>
      <c r="I16" s="4">
        <v>72651</v>
      </c>
      <c r="J16" s="4">
        <v>75121</v>
      </c>
      <c r="K16" s="4"/>
    </row>
    <row r="17" spans="1:10" ht="33.5" thickBot="1" x14ac:dyDescent="0.4">
      <c r="A17" s="3" t="s">
        <v>6</v>
      </c>
      <c r="B17" s="3" t="s">
        <v>14</v>
      </c>
      <c r="C17" s="4">
        <v>60551</v>
      </c>
      <c r="D17" s="4">
        <v>62670</v>
      </c>
      <c r="E17" s="4">
        <v>63610</v>
      </c>
      <c r="F17" s="4">
        <v>64246</v>
      </c>
      <c r="G17" s="4">
        <v>67436</v>
      </c>
      <c r="H17" s="4">
        <v>70133</v>
      </c>
      <c r="I17" s="4">
        <v>72798</v>
      </c>
      <c r="J17" s="4">
        <v>75273</v>
      </c>
    </row>
    <row r="18" spans="1:10" ht="33.5" thickBot="1" x14ac:dyDescent="0.4">
      <c r="A18" s="3" t="s">
        <v>6</v>
      </c>
      <c r="B18" s="3" t="s">
        <v>15</v>
      </c>
      <c r="C18" s="4">
        <v>61034</v>
      </c>
      <c r="D18" s="4">
        <v>63170</v>
      </c>
      <c r="E18" s="4">
        <v>64118</v>
      </c>
      <c r="F18" s="4">
        <v>64759</v>
      </c>
      <c r="G18" s="4">
        <v>67974</v>
      </c>
      <c r="H18" s="4">
        <v>70693</v>
      </c>
      <c r="I18" s="4">
        <v>73379</v>
      </c>
      <c r="J18" s="4">
        <v>75874</v>
      </c>
    </row>
    <row r="19" spans="1:10" ht="33.5" thickBot="1" x14ac:dyDescent="0.4">
      <c r="A19" s="3" t="s">
        <v>6</v>
      </c>
      <c r="B19" s="3" t="s">
        <v>16</v>
      </c>
      <c r="C19" s="4">
        <v>64574</v>
      </c>
      <c r="D19" s="4">
        <v>66834</v>
      </c>
      <c r="E19" s="4">
        <v>67837</v>
      </c>
      <c r="F19" s="4">
        <v>68515</v>
      </c>
      <c r="G19" s="4">
        <v>71917</v>
      </c>
      <c r="H19" s="4">
        <v>74794</v>
      </c>
      <c r="I19" s="4">
        <v>77636</v>
      </c>
      <c r="J19" s="4">
        <v>80276</v>
      </c>
    </row>
    <row r="20" spans="1:10" ht="17" thickBot="1" x14ac:dyDescent="0.4">
      <c r="A20" s="3" t="s">
        <v>7</v>
      </c>
      <c r="B20" s="3">
        <v>1</v>
      </c>
      <c r="C20" s="4">
        <v>61845</v>
      </c>
      <c r="D20" s="4">
        <v>64010</v>
      </c>
      <c r="E20" s="4">
        <v>64970</v>
      </c>
      <c r="F20" s="4">
        <v>65620</v>
      </c>
      <c r="G20" s="4">
        <v>68878</v>
      </c>
      <c r="H20" s="4">
        <v>71633</v>
      </c>
      <c r="I20" s="4">
        <v>75022</v>
      </c>
      <c r="J20" s="4">
        <v>79125</v>
      </c>
    </row>
    <row r="21" spans="1:10" ht="17" thickBot="1" x14ac:dyDescent="0.4">
      <c r="A21" s="3" t="s">
        <v>7</v>
      </c>
      <c r="B21" s="3">
        <v>2</v>
      </c>
      <c r="C21" s="4">
        <v>63452</v>
      </c>
      <c r="D21" s="4">
        <v>65673</v>
      </c>
      <c r="E21" s="4">
        <v>66658</v>
      </c>
      <c r="F21" s="4">
        <v>67325</v>
      </c>
      <c r="G21" s="4">
        <v>70667</v>
      </c>
      <c r="H21" s="4">
        <v>73494</v>
      </c>
      <c r="I21" s="4">
        <v>76287</v>
      </c>
      <c r="J21" s="4">
        <v>79125</v>
      </c>
    </row>
    <row r="22" spans="1:10" ht="17" thickBot="1" x14ac:dyDescent="0.4">
      <c r="A22" s="3" t="s">
        <v>7</v>
      </c>
      <c r="B22" s="3">
        <v>3</v>
      </c>
      <c r="C22" s="4">
        <v>67820</v>
      </c>
      <c r="D22" s="4">
        <v>70194</v>
      </c>
      <c r="E22" s="4">
        <v>71247</v>
      </c>
      <c r="F22" s="4">
        <v>71959</v>
      </c>
      <c r="G22" s="4">
        <v>75532</v>
      </c>
      <c r="H22" s="4">
        <v>78553</v>
      </c>
      <c r="I22" s="4">
        <v>81538</v>
      </c>
      <c r="J22" s="4">
        <v>84310</v>
      </c>
    </row>
    <row r="23" spans="1:10" ht="17" thickBot="1" x14ac:dyDescent="0.4">
      <c r="A23" s="3" t="s">
        <v>7</v>
      </c>
      <c r="B23" s="3">
        <v>4</v>
      </c>
      <c r="C23" s="3" t="s">
        <v>3</v>
      </c>
      <c r="D23" s="3" t="s">
        <v>3</v>
      </c>
      <c r="E23" s="3" t="s">
        <v>3</v>
      </c>
      <c r="F23" s="3" t="s">
        <v>3</v>
      </c>
      <c r="G23" s="3" t="s">
        <v>3</v>
      </c>
      <c r="H23" s="3" t="s">
        <v>3</v>
      </c>
      <c r="I23" s="4">
        <v>81775</v>
      </c>
      <c r="J23" s="4">
        <v>86246</v>
      </c>
    </row>
    <row r="24" spans="1:10" ht="17" thickBot="1" x14ac:dyDescent="0.4">
      <c r="A24" s="3" t="s">
        <v>8</v>
      </c>
      <c r="B24" s="3">
        <v>1</v>
      </c>
      <c r="C24" s="4">
        <v>68944</v>
      </c>
      <c r="D24" s="4">
        <v>71357</v>
      </c>
      <c r="E24" s="4">
        <v>72427</v>
      </c>
      <c r="F24" s="4">
        <v>73151</v>
      </c>
      <c r="G24" s="4">
        <v>76783</v>
      </c>
      <c r="H24" s="4">
        <v>80341</v>
      </c>
      <c r="I24" s="4">
        <v>84228</v>
      </c>
      <c r="J24" s="4">
        <v>88834</v>
      </c>
    </row>
    <row r="25" spans="1:10" ht="17" thickBot="1" x14ac:dyDescent="0.4">
      <c r="A25" s="3" t="s">
        <v>8</v>
      </c>
      <c r="B25" s="3">
        <v>2</v>
      </c>
      <c r="C25" s="4">
        <v>70886</v>
      </c>
      <c r="D25" s="4">
        <v>73367</v>
      </c>
      <c r="E25" s="4">
        <v>74468</v>
      </c>
      <c r="F25" s="4">
        <v>75213</v>
      </c>
      <c r="G25" s="4">
        <v>78947</v>
      </c>
      <c r="H25" s="4">
        <v>82105</v>
      </c>
      <c r="I25" s="4">
        <v>85225</v>
      </c>
      <c r="J25" s="4">
        <v>88834</v>
      </c>
    </row>
    <row r="26" spans="1:10" ht="17" thickBot="1" x14ac:dyDescent="0.4">
      <c r="A26" s="3" t="s">
        <v>8</v>
      </c>
      <c r="B26" s="3">
        <v>3</v>
      </c>
      <c r="C26" s="4">
        <v>75139</v>
      </c>
      <c r="D26" s="4">
        <v>77769</v>
      </c>
      <c r="E26" s="4">
        <v>78936</v>
      </c>
      <c r="F26" s="4">
        <v>79725</v>
      </c>
      <c r="G26" s="4">
        <v>83683</v>
      </c>
      <c r="H26" s="4">
        <v>87030</v>
      </c>
      <c r="I26" s="4">
        <v>90337</v>
      </c>
      <c r="J26" s="4">
        <v>93408</v>
      </c>
    </row>
    <row r="27" spans="1:10" ht="17" thickBot="1" x14ac:dyDescent="0.4">
      <c r="A27" s="3" t="s">
        <v>8</v>
      </c>
      <c r="B27" s="3">
        <v>4</v>
      </c>
      <c r="C27" s="3" t="s">
        <v>3</v>
      </c>
      <c r="D27" s="3" t="s">
        <v>3</v>
      </c>
      <c r="E27" s="3" t="s">
        <v>3</v>
      </c>
      <c r="F27" s="3" t="s">
        <v>3</v>
      </c>
      <c r="G27" s="3" t="s">
        <v>3</v>
      </c>
      <c r="H27" s="4">
        <v>87572</v>
      </c>
      <c r="I27" s="4">
        <v>91809</v>
      </c>
      <c r="J27" s="4">
        <v>94931</v>
      </c>
    </row>
    <row r="28" spans="1:10" ht="17" thickBot="1" x14ac:dyDescent="0.4">
      <c r="A28" s="3" t="s">
        <v>8</v>
      </c>
      <c r="B28" s="3">
        <v>5</v>
      </c>
      <c r="C28" s="3" t="s">
        <v>3</v>
      </c>
      <c r="D28" s="3" t="s">
        <v>3</v>
      </c>
      <c r="E28" s="3" t="s">
        <v>3</v>
      </c>
      <c r="F28" s="3" t="s">
        <v>3</v>
      </c>
      <c r="G28" s="3" t="s">
        <v>3</v>
      </c>
      <c r="H28" s="3" t="s">
        <v>3</v>
      </c>
      <c r="I28" s="3" t="s">
        <v>3</v>
      </c>
      <c r="J28" s="4">
        <v>96829</v>
      </c>
    </row>
    <row r="29" spans="1:10" ht="17" thickBot="1" x14ac:dyDescent="0.4">
      <c r="A29" s="3" t="s">
        <v>9</v>
      </c>
      <c r="B29" s="3">
        <v>1</v>
      </c>
      <c r="C29" s="4">
        <v>76025</v>
      </c>
      <c r="D29" s="4">
        <v>78686</v>
      </c>
      <c r="E29" s="4">
        <v>79866</v>
      </c>
      <c r="F29" s="4">
        <v>80665</v>
      </c>
      <c r="G29" s="4">
        <v>84670</v>
      </c>
      <c r="H29" s="4">
        <v>90199</v>
      </c>
      <c r="I29" s="4">
        <v>94563</v>
      </c>
      <c r="J29" s="4">
        <v>99734</v>
      </c>
    </row>
    <row r="30" spans="1:10" ht="17" thickBot="1" x14ac:dyDescent="0.4">
      <c r="A30" s="3" t="s">
        <v>9</v>
      </c>
      <c r="B30" s="3">
        <v>2</v>
      </c>
      <c r="C30" s="4">
        <v>79848</v>
      </c>
      <c r="D30" s="4">
        <v>82643</v>
      </c>
      <c r="E30" s="4">
        <v>83883</v>
      </c>
      <c r="F30" s="4">
        <v>84722</v>
      </c>
      <c r="G30" s="4">
        <v>88929</v>
      </c>
      <c r="H30" s="4">
        <v>92486</v>
      </c>
      <c r="I30" s="4">
        <v>96000</v>
      </c>
      <c r="J30" s="4">
        <v>99734</v>
      </c>
    </row>
    <row r="31" spans="1:10" ht="17" thickBot="1" x14ac:dyDescent="0.4">
      <c r="A31" s="3" t="s">
        <v>9</v>
      </c>
      <c r="B31" s="3">
        <v>3</v>
      </c>
      <c r="C31" s="4">
        <v>86438</v>
      </c>
      <c r="D31" s="4">
        <v>89463</v>
      </c>
      <c r="E31" s="4">
        <v>90805</v>
      </c>
      <c r="F31" s="4">
        <v>91713</v>
      </c>
      <c r="G31" s="4">
        <v>96267</v>
      </c>
      <c r="H31" s="4">
        <v>100118</v>
      </c>
      <c r="I31" s="4">
        <v>103922</v>
      </c>
      <c r="J31" s="4">
        <v>107455</v>
      </c>
    </row>
    <row r="32" spans="1:10" ht="17" thickBot="1" x14ac:dyDescent="0.4">
      <c r="A32" s="3" t="s">
        <v>9</v>
      </c>
      <c r="B32" s="3">
        <v>4</v>
      </c>
      <c r="C32" s="3" t="s">
        <v>3</v>
      </c>
      <c r="D32" s="3" t="s">
        <v>3</v>
      </c>
      <c r="E32" s="3" t="s">
        <v>3</v>
      </c>
      <c r="F32" s="3" t="s">
        <v>3</v>
      </c>
      <c r="G32" s="3" t="s">
        <v>3</v>
      </c>
      <c r="H32" s="4">
        <v>101022</v>
      </c>
      <c r="I32" s="4">
        <v>105910</v>
      </c>
      <c r="J32" s="4">
        <v>109511</v>
      </c>
    </row>
    <row r="33" spans="1:10" ht="17" thickBot="1" x14ac:dyDescent="0.4">
      <c r="A33" s="3" t="s">
        <v>9</v>
      </c>
      <c r="B33" s="3">
        <v>5</v>
      </c>
      <c r="C33" s="3" t="s">
        <v>3</v>
      </c>
      <c r="D33" s="3" t="s">
        <v>3</v>
      </c>
      <c r="E33" s="3" t="s">
        <v>3</v>
      </c>
      <c r="F33" s="3" t="s">
        <v>3</v>
      </c>
      <c r="G33" s="3" t="s">
        <v>3</v>
      </c>
      <c r="H33" s="3" t="s">
        <v>3</v>
      </c>
      <c r="I33" s="3" t="s">
        <v>3</v>
      </c>
      <c r="J33" s="4">
        <v>111701</v>
      </c>
    </row>
    <row r="34" spans="1:10" ht="17" thickBot="1" x14ac:dyDescent="0.4">
      <c r="A34" s="3" t="s">
        <v>10</v>
      </c>
      <c r="B34" s="3">
        <v>1</v>
      </c>
      <c r="C34" s="4">
        <v>92560</v>
      </c>
      <c r="D34" s="4">
        <v>95800</v>
      </c>
      <c r="E34" s="4">
        <v>97237</v>
      </c>
      <c r="F34" s="4">
        <v>98209</v>
      </c>
      <c r="G34" s="4">
        <v>103085</v>
      </c>
      <c r="H34" s="4">
        <v>110115</v>
      </c>
      <c r="I34" s="4">
        <v>115443</v>
      </c>
      <c r="J34" s="4">
        <v>121755</v>
      </c>
    </row>
    <row r="35" spans="1:10" ht="17" thickBot="1" x14ac:dyDescent="0.4">
      <c r="A35" s="3" t="s">
        <v>10</v>
      </c>
      <c r="B35" s="3">
        <v>2</v>
      </c>
      <c r="C35" s="4">
        <v>96255</v>
      </c>
      <c r="D35" s="4">
        <v>99624</v>
      </c>
      <c r="E35" s="4">
        <v>101118</v>
      </c>
      <c r="F35" s="4">
        <v>102129</v>
      </c>
      <c r="G35" s="4">
        <v>107200</v>
      </c>
      <c r="H35" s="4">
        <v>111489</v>
      </c>
      <c r="I35" s="4">
        <v>115725</v>
      </c>
      <c r="J35" s="4">
        <v>121755</v>
      </c>
    </row>
    <row r="36" spans="1:10" ht="17" thickBot="1" x14ac:dyDescent="0.4">
      <c r="A36" s="3" t="s">
        <v>10</v>
      </c>
      <c r="B36" s="3">
        <v>3</v>
      </c>
      <c r="C36" s="4">
        <v>104260</v>
      </c>
      <c r="D36" s="4">
        <v>107909</v>
      </c>
      <c r="E36" s="4">
        <v>109528</v>
      </c>
      <c r="F36" s="4">
        <v>110623</v>
      </c>
      <c r="G36" s="4">
        <v>116115</v>
      </c>
      <c r="H36" s="4">
        <v>120760</v>
      </c>
      <c r="I36" s="4">
        <v>125348</v>
      </c>
      <c r="J36" s="4">
        <v>129611</v>
      </c>
    </row>
    <row r="37" spans="1:10" ht="17" thickBot="1" x14ac:dyDescent="0.4">
      <c r="A37" s="3" t="s">
        <v>10</v>
      </c>
      <c r="B37" s="3">
        <v>4</v>
      </c>
      <c r="C37" s="3" t="s">
        <v>3</v>
      </c>
      <c r="D37" s="3" t="s">
        <v>3</v>
      </c>
      <c r="E37" s="3" t="s">
        <v>3</v>
      </c>
      <c r="F37" s="3" t="s">
        <v>3</v>
      </c>
      <c r="G37" s="3" t="s">
        <v>3</v>
      </c>
      <c r="H37" s="3" t="s">
        <v>3</v>
      </c>
      <c r="I37" s="4">
        <v>125832</v>
      </c>
      <c r="J37" s="4">
        <v>132713</v>
      </c>
    </row>
    <row r="38" spans="1:10" ht="33.5" thickBot="1" x14ac:dyDescent="0.4">
      <c r="A38" s="3" t="s">
        <v>11</v>
      </c>
      <c r="B38" s="3">
        <v>1</v>
      </c>
      <c r="C38" s="4">
        <v>112622</v>
      </c>
      <c r="D38" s="4">
        <v>116564</v>
      </c>
      <c r="E38" s="4">
        <v>118312</v>
      </c>
      <c r="F38" s="4">
        <v>119495</v>
      </c>
      <c r="G38" s="4">
        <v>125428</v>
      </c>
      <c r="H38" s="4">
        <v>130445</v>
      </c>
      <c r="I38" s="4">
        <v>135402</v>
      </c>
      <c r="J38" s="4">
        <v>140675</v>
      </c>
    </row>
    <row r="39" spans="1:10" ht="33.5" thickBot="1" x14ac:dyDescent="0.4">
      <c r="A39" s="3" t="s">
        <v>11</v>
      </c>
      <c r="B39" s="3">
        <v>2</v>
      </c>
      <c r="C39" s="4">
        <v>116828</v>
      </c>
      <c r="D39" s="4">
        <v>120917</v>
      </c>
      <c r="E39" s="4">
        <v>122731</v>
      </c>
      <c r="F39" s="4">
        <v>123958</v>
      </c>
      <c r="G39" s="4">
        <v>130113</v>
      </c>
      <c r="H39" s="4">
        <v>135318</v>
      </c>
      <c r="I39" s="4">
        <v>140460</v>
      </c>
      <c r="J39" s="4">
        <v>145236</v>
      </c>
    </row>
    <row r="40" spans="1:10" ht="33.5" thickBot="1" x14ac:dyDescent="0.4">
      <c r="A40" s="3" t="s">
        <v>11</v>
      </c>
      <c r="B40" s="3">
        <v>3</v>
      </c>
      <c r="C40" s="4">
        <v>126488</v>
      </c>
      <c r="D40" s="4">
        <v>130915</v>
      </c>
      <c r="E40" s="4">
        <v>132879</v>
      </c>
      <c r="F40" s="4">
        <v>134208</v>
      </c>
      <c r="G40" s="4">
        <v>140871</v>
      </c>
      <c r="H40" s="4">
        <v>146506</v>
      </c>
      <c r="I40" s="4">
        <v>152073</v>
      </c>
      <c r="J40" s="4">
        <v>157243</v>
      </c>
    </row>
    <row r="41" spans="1:10" ht="33.5" thickBot="1" x14ac:dyDescent="0.4">
      <c r="A41" s="3" t="s">
        <v>12</v>
      </c>
      <c r="B41" s="3">
        <v>1</v>
      </c>
      <c r="C41" s="4">
        <v>128756</v>
      </c>
      <c r="D41" s="4">
        <v>133262</v>
      </c>
      <c r="E41" s="4">
        <v>135261</v>
      </c>
      <c r="F41" s="4">
        <v>136614</v>
      </c>
      <c r="G41" s="4">
        <v>143397</v>
      </c>
      <c r="H41" s="4">
        <v>149133</v>
      </c>
      <c r="I41" s="4">
        <v>154800</v>
      </c>
      <c r="J41" s="4">
        <v>160063</v>
      </c>
    </row>
    <row r="42" spans="1:10" ht="33.5" thickBot="1" x14ac:dyDescent="0.4">
      <c r="A42" s="3" t="s">
        <v>12</v>
      </c>
      <c r="B42" s="3">
        <v>2</v>
      </c>
      <c r="C42" s="4">
        <v>137458</v>
      </c>
      <c r="D42" s="4">
        <v>142269</v>
      </c>
      <c r="E42" s="4">
        <v>144403</v>
      </c>
      <c r="F42" s="4">
        <v>145847</v>
      </c>
      <c r="G42" s="4">
        <v>153089</v>
      </c>
      <c r="H42" s="4">
        <v>159213</v>
      </c>
      <c r="I42" s="4">
        <v>165263</v>
      </c>
      <c r="J42" s="4">
        <v>170882</v>
      </c>
    </row>
  </sheetData>
  <pageMargins left="0.7" right="0.7" top="0.75" bottom="0.75" header="0.3" footer="0.3"/>
  <headerFooter>
    <oddHeader>&amp;C&amp;"Aptos"&amp;10&amp;KFF0000 OFFICIAL&amp;1#_x000D_</oddHeader>
    <oddFooter>&amp;C_x000D_&amp;1#&amp;"Aptos"&amp;10&amp;KFF0000 OFFICIAL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7E3EA2-4B0C-4289-84D0-DE2860FFB07E}">
  <dimension ref="A1:I10"/>
  <sheetViews>
    <sheetView workbookViewId="0">
      <selection activeCell="B1" sqref="B1:I1"/>
    </sheetView>
  </sheetViews>
  <sheetFormatPr defaultRowHeight="14.5" x14ac:dyDescent="0.35"/>
  <cols>
    <col min="2" max="2" width="9.81640625" bestFit="1" customWidth="1"/>
    <col min="3" max="4" width="11.1796875" bestFit="1" customWidth="1"/>
    <col min="5" max="5" width="11.54296875" bestFit="1" customWidth="1"/>
    <col min="6" max="6" width="11.7265625" bestFit="1" customWidth="1"/>
    <col min="7" max="9" width="11.54296875" bestFit="1" customWidth="1"/>
  </cols>
  <sheetData>
    <row r="1" spans="1:9" ht="33.5" thickBot="1" x14ac:dyDescent="0.4">
      <c r="A1" s="1" t="s">
        <v>0</v>
      </c>
      <c r="B1" s="2">
        <v>43466</v>
      </c>
      <c r="C1" s="2">
        <v>43722</v>
      </c>
      <c r="D1" s="2">
        <v>44088</v>
      </c>
      <c r="E1" s="2">
        <v>44269</v>
      </c>
      <c r="F1" s="2">
        <v>45169</v>
      </c>
      <c r="G1" s="2">
        <v>45365</v>
      </c>
      <c r="H1" s="2">
        <v>45729</v>
      </c>
      <c r="I1" s="2">
        <v>46093</v>
      </c>
    </row>
    <row r="2" spans="1:9" ht="17" thickBot="1" x14ac:dyDescent="0.4">
      <c r="A2" s="3" t="s">
        <v>2</v>
      </c>
      <c r="B2" s="4">
        <v>47982</v>
      </c>
      <c r="C2" s="4">
        <v>49661</v>
      </c>
      <c r="D2" s="4">
        <v>50406</v>
      </c>
      <c r="E2" s="4">
        <v>50910</v>
      </c>
      <c r="F2" s="4">
        <v>49323</v>
      </c>
      <c r="G2" s="4">
        <v>53438</v>
      </c>
      <c r="H2" s="4">
        <v>57787</v>
      </c>
      <c r="I2" s="4">
        <v>60946</v>
      </c>
    </row>
    <row r="3" spans="1:9" ht="17" thickBot="1" x14ac:dyDescent="0.4">
      <c r="A3" s="3" t="s">
        <v>4</v>
      </c>
      <c r="B3" s="4">
        <v>54671</v>
      </c>
      <c r="C3" s="4">
        <v>56584</v>
      </c>
      <c r="D3" s="4">
        <v>57433</v>
      </c>
      <c r="E3" s="4">
        <v>58007</v>
      </c>
      <c r="F3" s="4">
        <v>60769</v>
      </c>
      <c r="G3" s="4">
        <v>63200</v>
      </c>
      <c r="H3" s="4">
        <v>65602</v>
      </c>
      <c r="I3" s="4">
        <v>68425</v>
      </c>
    </row>
    <row r="4" spans="1:9" ht="17" thickBot="1" x14ac:dyDescent="0.4">
      <c r="A4" s="3" t="s">
        <v>5</v>
      </c>
      <c r="B4" s="4">
        <v>60428</v>
      </c>
      <c r="C4" s="4">
        <v>62543</v>
      </c>
      <c r="D4" s="4">
        <v>63481</v>
      </c>
      <c r="E4" s="4">
        <v>64116</v>
      </c>
      <c r="F4" s="4">
        <v>67299</v>
      </c>
      <c r="G4" s="4">
        <v>69991</v>
      </c>
      <c r="H4" s="5">
        <v>72837</v>
      </c>
      <c r="I4" s="5">
        <v>76820</v>
      </c>
    </row>
    <row r="5" spans="1:9" ht="17" thickBot="1" x14ac:dyDescent="0.4">
      <c r="A5" s="3" t="s">
        <v>7</v>
      </c>
      <c r="B5" s="4">
        <v>67820</v>
      </c>
      <c r="C5" s="4">
        <v>70194</v>
      </c>
      <c r="D5" s="4">
        <v>71247</v>
      </c>
      <c r="E5" s="4">
        <v>71959</v>
      </c>
      <c r="F5" s="4">
        <v>75532</v>
      </c>
      <c r="G5" s="4">
        <v>78553</v>
      </c>
      <c r="H5" s="4">
        <v>81775</v>
      </c>
      <c r="I5" s="4">
        <v>86246</v>
      </c>
    </row>
    <row r="6" spans="1:9" ht="17" thickBot="1" x14ac:dyDescent="0.4">
      <c r="A6" s="3" t="s">
        <v>8</v>
      </c>
      <c r="B6" s="4">
        <v>75139</v>
      </c>
      <c r="C6" s="4">
        <v>77769</v>
      </c>
      <c r="D6" s="4">
        <v>78936</v>
      </c>
      <c r="E6" s="4">
        <v>79725</v>
      </c>
      <c r="F6" s="4">
        <v>83683</v>
      </c>
      <c r="G6" s="4">
        <v>87572</v>
      </c>
      <c r="H6" s="4">
        <v>91809</v>
      </c>
      <c r="I6" s="4">
        <v>96829</v>
      </c>
    </row>
    <row r="7" spans="1:9" ht="17" thickBot="1" x14ac:dyDescent="0.4">
      <c r="A7" s="3" t="s">
        <v>9</v>
      </c>
      <c r="B7" s="4">
        <v>86438</v>
      </c>
      <c r="C7" s="4">
        <v>89463</v>
      </c>
      <c r="D7" s="4">
        <v>90805</v>
      </c>
      <c r="E7" s="4">
        <v>91713</v>
      </c>
      <c r="F7" s="4">
        <v>96267</v>
      </c>
      <c r="G7" s="4">
        <v>101022</v>
      </c>
      <c r="H7" s="4">
        <v>105910</v>
      </c>
      <c r="I7" s="4">
        <v>111701</v>
      </c>
    </row>
    <row r="8" spans="1:9" ht="17" thickBot="1" x14ac:dyDescent="0.4">
      <c r="A8" s="3" t="s">
        <v>10</v>
      </c>
      <c r="B8" s="4">
        <v>104260</v>
      </c>
      <c r="C8" s="4">
        <v>107909</v>
      </c>
      <c r="D8" s="4">
        <v>109528</v>
      </c>
      <c r="E8" s="4">
        <v>110623</v>
      </c>
      <c r="F8" s="4">
        <v>116115</v>
      </c>
      <c r="G8" s="4">
        <v>120760</v>
      </c>
      <c r="H8" s="4">
        <v>125832</v>
      </c>
      <c r="I8" s="4">
        <v>132713</v>
      </c>
    </row>
    <row r="9" spans="1:9" ht="33.5" thickBot="1" x14ac:dyDescent="0.4">
      <c r="A9" s="3" t="s">
        <v>11</v>
      </c>
      <c r="B9" s="4">
        <v>126488</v>
      </c>
      <c r="C9" s="4">
        <v>130915</v>
      </c>
      <c r="D9" s="4">
        <v>132879</v>
      </c>
      <c r="E9" s="4">
        <v>134208</v>
      </c>
      <c r="F9" s="4">
        <v>140871</v>
      </c>
      <c r="G9" s="4">
        <v>146506</v>
      </c>
      <c r="H9" s="4">
        <v>152073</v>
      </c>
      <c r="I9" s="4">
        <v>157243</v>
      </c>
    </row>
    <row r="10" spans="1:9" ht="33.5" thickBot="1" x14ac:dyDescent="0.4">
      <c r="A10" s="3" t="s">
        <v>12</v>
      </c>
      <c r="B10" s="4">
        <v>137458</v>
      </c>
      <c r="C10" s="4">
        <v>142269</v>
      </c>
      <c r="D10" s="4">
        <v>144403</v>
      </c>
      <c r="E10" s="4">
        <v>145847</v>
      </c>
      <c r="F10" s="4">
        <v>153089</v>
      </c>
      <c r="G10" s="4">
        <v>159213</v>
      </c>
      <c r="H10" s="4">
        <v>165263</v>
      </c>
      <c r="I10" s="4">
        <v>170882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04CA52-290E-401F-BDF5-690B0FFB7468}">
  <dimension ref="A1:J9"/>
  <sheetViews>
    <sheetView workbookViewId="0">
      <selection activeCell="F22" sqref="F22"/>
    </sheetView>
  </sheetViews>
  <sheetFormatPr defaultRowHeight="14.5" x14ac:dyDescent="0.35"/>
  <cols>
    <col min="1" max="1" width="12.6328125" bestFit="1" customWidth="1"/>
    <col min="2" max="6" width="12.1796875" bestFit="1" customWidth="1"/>
    <col min="7" max="10" width="13.26953125" bestFit="1" customWidth="1"/>
  </cols>
  <sheetData>
    <row r="1" spans="1:10" x14ac:dyDescent="0.35">
      <c r="A1" t="s">
        <v>0</v>
      </c>
      <c r="B1" t="s">
        <v>2</v>
      </c>
      <c r="C1" t="s">
        <v>4</v>
      </c>
      <c r="D1" t="s">
        <v>5</v>
      </c>
      <c r="E1" t="s">
        <v>7</v>
      </c>
      <c r="F1" t="s">
        <v>8</v>
      </c>
      <c r="G1" t="s">
        <v>9</v>
      </c>
      <c r="H1" t="s">
        <v>10</v>
      </c>
      <c r="I1" t="s">
        <v>11</v>
      </c>
      <c r="J1" t="s">
        <v>12</v>
      </c>
    </row>
    <row r="2" spans="1:10" x14ac:dyDescent="0.35">
      <c r="A2" s="7">
        <v>43466</v>
      </c>
      <c r="B2" s="8">
        <v>47982</v>
      </c>
      <c r="C2" s="8">
        <v>54671</v>
      </c>
      <c r="D2" s="8">
        <v>60428</v>
      </c>
      <c r="E2" s="8">
        <v>67820</v>
      </c>
      <c r="F2" s="8">
        <v>75139</v>
      </c>
      <c r="G2" s="8">
        <v>86438</v>
      </c>
      <c r="H2" s="8">
        <v>104260</v>
      </c>
      <c r="I2" s="8">
        <v>126488</v>
      </c>
      <c r="J2" s="8">
        <v>137458</v>
      </c>
    </row>
    <row r="3" spans="1:10" x14ac:dyDescent="0.35">
      <c r="A3" s="7">
        <v>43722</v>
      </c>
      <c r="B3" s="8">
        <v>49661</v>
      </c>
      <c r="C3" s="8">
        <v>56584</v>
      </c>
      <c r="D3" s="8">
        <v>62543</v>
      </c>
      <c r="E3" s="8">
        <v>70194</v>
      </c>
      <c r="F3" s="8">
        <v>77769</v>
      </c>
      <c r="G3" s="8">
        <v>89463</v>
      </c>
      <c r="H3" s="8">
        <v>107909</v>
      </c>
      <c r="I3" s="8">
        <v>130915</v>
      </c>
      <c r="J3" s="8">
        <v>142269</v>
      </c>
    </row>
    <row r="4" spans="1:10" x14ac:dyDescent="0.35">
      <c r="A4" s="7">
        <v>44088</v>
      </c>
      <c r="B4" s="8">
        <v>50406</v>
      </c>
      <c r="C4" s="8">
        <v>57433</v>
      </c>
      <c r="D4" s="8">
        <v>63481</v>
      </c>
      <c r="E4" s="8">
        <v>71247</v>
      </c>
      <c r="F4" s="8">
        <v>78936</v>
      </c>
      <c r="G4" s="8">
        <v>90805</v>
      </c>
      <c r="H4" s="8">
        <v>109528</v>
      </c>
      <c r="I4" s="8">
        <v>132879</v>
      </c>
      <c r="J4" s="8">
        <v>144403</v>
      </c>
    </row>
    <row r="5" spans="1:10" x14ac:dyDescent="0.35">
      <c r="A5" s="7">
        <v>44269</v>
      </c>
      <c r="B5" s="8">
        <v>50910</v>
      </c>
      <c r="C5" s="8">
        <v>58007</v>
      </c>
      <c r="D5" s="8">
        <v>64116</v>
      </c>
      <c r="E5" s="8">
        <v>71959</v>
      </c>
      <c r="F5" s="8">
        <v>79725</v>
      </c>
      <c r="G5" s="8">
        <v>91713</v>
      </c>
      <c r="H5" s="8">
        <v>110623</v>
      </c>
      <c r="I5" s="8">
        <v>134208</v>
      </c>
      <c r="J5" s="8">
        <v>145847</v>
      </c>
    </row>
    <row r="6" spans="1:10" x14ac:dyDescent="0.35">
      <c r="A6" s="7">
        <v>45169</v>
      </c>
      <c r="B6" s="8">
        <v>49323</v>
      </c>
      <c r="C6" s="8">
        <v>60769</v>
      </c>
      <c r="D6" s="8">
        <v>67299</v>
      </c>
      <c r="E6" s="8">
        <v>75532</v>
      </c>
      <c r="F6" s="8">
        <v>83683</v>
      </c>
      <c r="G6" s="8">
        <v>96267</v>
      </c>
      <c r="H6" s="8">
        <v>116115</v>
      </c>
      <c r="I6" s="8">
        <v>140871</v>
      </c>
      <c r="J6" s="8">
        <v>153089</v>
      </c>
    </row>
    <row r="7" spans="1:10" x14ac:dyDescent="0.35">
      <c r="A7" s="7">
        <v>45365</v>
      </c>
      <c r="B7" s="8">
        <v>53438</v>
      </c>
      <c r="C7" s="8">
        <v>63200</v>
      </c>
      <c r="D7" s="8">
        <v>69991</v>
      </c>
      <c r="E7" s="8">
        <v>78553</v>
      </c>
      <c r="F7" s="8">
        <v>87572</v>
      </c>
      <c r="G7" s="8">
        <v>101022</v>
      </c>
      <c r="H7" s="8">
        <v>120760</v>
      </c>
      <c r="I7" s="8">
        <v>146506</v>
      </c>
      <c r="J7" s="8">
        <v>159213</v>
      </c>
    </row>
    <row r="8" spans="1:10" x14ac:dyDescent="0.35">
      <c r="A8" s="7">
        <v>45729</v>
      </c>
      <c r="B8" s="8">
        <v>57787</v>
      </c>
      <c r="C8" s="8">
        <v>65602</v>
      </c>
      <c r="D8" s="8">
        <v>72837</v>
      </c>
      <c r="E8" s="8">
        <v>81775</v>
      </c>
      <c r="F8" s="8">
        <v>91809</v>
      </c>
      <c r="G8" s="8">
        <v>105910</v>
      </c>
      <c r="H8" s="8">
        <v>125832</v>
      </c>
      <c r="I8" s="8">
        <v>152073</v>
      </c>
      <c r="J8" s="8">
        <v>165263</v>
      </c>
    </row>
    <row r="9" spans="1:10" x14ac:dyDescent="0.35">
      <c r="A9" s="7">
        <v>46093</v>
      </c>
      <c r="B9" s="8">
        <v>60946</v>
      </c>
      <c r="C9" s="8">
        <v>68425</v>
      </c>
      <c r="D9" s="8">
        <v>76820</v>
      </c>
      <c r="E9" s="8">
        <v>86246</v>
      </c>
      <c r="F9" s="8">
        <v>96829</v>
      </c>
      <c r="G9" s="8">
        <v>111701</v>
      </c>
      <c r="H9" s="8">
        <v>132713</v>
      </c>
      <c r="I9" s="8">
        <v>157243</v>
      </c>
      <c r="J9" s="8">
        <v>170882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10DB80-2ECB-47A2-A0FB-56068728AF07}">
  <dimension ref="A1:B26"/>
  <sheetViews>
    <sheetView workbookViewId="0">
      <selection activeCell="E21" sqref="E21"/>
    </sheetView>
  </sheetViews>
  <sheetFormatPr defaultRowHeight="14.5" x14ac:dyDescent="0.35"/>
  <sheetData>
    <row r="1" spans="1:2" ht="71.5" x14ac:dyDescent="0.35">
      <c r="A1" s="16" t="s">
        <v>17</v>
      </c>
      <c r="B1" s="17" t="s">
        <v>27</v>
      </c>
    </row>
    <row r="2" spans="1:2" x14ac:dyDescent="0.35">
      <c r="A2" s="18">
        <v>43800</v>
      </c>
      <c r="B2" s="19">
        <v>0.7</v>
      </c>
    </row>
    <row r="3" spans="1:2" x14ac:dyDescent="0.35">
      <c r="A3" s="18">
        <v>43891</v>
      </c>
      <c r="B3" s="19">
        <v>0.4</v>
      </c>
    </row>
    <row r="4" spans="1:2" x14ac:dyDescent="0.35">
      <c r="A4" s="18">
        <v>43983</v>
      </c>
      <c r="B4" s="19">
        <v>-1.9</v>
      </c>
    </row>
    <row r="5" spans="1:2" x14ac:dyDescent="0.35">
      <c r="A5" s="18">
        <v>44075</v>
      </c>
      <c r="B5" s="19">
        <v>1.5</v>
      </c>
    </row>
    <row r="6" spans="1:2" x14ac:dyDescent="0.35">
      <c r="A6" s="18">
        <v>44166</v>
      </c>
      <c r="B6" s="19">
        <v>0.9</v>
      </c>
    </row>
    <row r="7" spans="1:2" x14ac:dyDescent="0.35">
      <c r="A7" s="18">
        <v>44256</v>
      </c>
      <c r="B7" s="19">
        <v>0.6</v>
      </c>
    </row>
    <row r="8" spans="1:2" x14ac:dyDescent="0.35">
      <c r="A8" s="18">
        <v>44348</v>
      </c>
      <c r="B8" s="19">
        <v>0.7</v>
      </c>
    </row>
    <row r="9" spans="1:2" x14ac:dyDescent="0.35">
      <c r="A9" s="18">
        <v>44440</v>
      </c>
      <c r="B9" s="19">
        <v>0.8</v>
      </c>
    </row>
    <row r="10" spans="1:2" x14ac:dyDescent="0.35">
      <c r="A10" s="18">
        <v>44531</v>
      </c>
      <c r="B10" s="19">
        <v>1.3</v>
      </c>
    </row>
    <row r="11" spans="1:2" x14ac:dyDescent="0.35">
      <c r="A11" s="18">
        <v>44621</v>
      </c>
      <c r="B11" s="19">
        <v>2.2000000000000002</v>
      </c>
    </row>
    <row r="12" spans="1:2" x14ac:dyDescent="0.35">
      <c r="A12" s="18">
        <v>44713</v>
      </c>
      <c r="B12" s="19">
        <v>1.8</v>
      </c>
    </row>
    <row r="13" spans="1:2" x14ac:dyDescent="0.35">
      <c r="A13" s="18">
        <v>44805</v>
      </c>
      <c r="B13" s="19">
        <v>1.8</v>
      </c>
    </row>
    <row r="14" spans="1:2" x14ac:dyDescent="0.35">
      <c r="A14" s="18">
        <v>44896</v>
      </c>
      <c r="B14" s="19">
        <v>1.8</v>
      </c>
    </row>
    <row r="15" spans="1:2" x14ac:dyDescent="0.35">
      <c r="A15" s="18">
        <v>44986</v>
      </c>
      <c r="B15" s="19">
        <v>1.4</v>
      </c>
    </row>
    <row r="16" spans="1:2" x14ac:dyDescent="0.35">
      <c r="A16" s="18">
        <v>45078</v>
      </c>
      <c r="B16" s="19">
        <v>0.9</v>
      </c>
    </row>
    <row r="17" spans="1:2" x14ac:dyDescent="0.35">
      <c r="A17" s="18">
        <v>45170</v>
      </c>
      <c r="B17" s="19">
        <v>1.2</v>
      </c>
    </row>
    <row r="18" spans="1:2" x14ac:dyDescent="0.35">
      <c r="A18" s="18">
        <v>45261</v>
      </c>
      <c r="B18" s="19">
        <v>0.6</v>
      </c>
    </row>
    <row r="19" spans="1:2" x14ac:dyDescent="0.35">
      <c r="A19" s="18">
        <v>45352</v>
      </c>
      <c r="B19" s="19">
        <v>0.9</v>
      </c>
    </row>
    <row r="20" spans="1:2" x14ac:dyDescent="0.35">
      <c r="A20" s="18">
        <v>45444</v>
      </c>
      <c r="B20" s="19">
        <v>1</v>
      </c>
    </row>
    <row r="21" spans="1:2" x14ac:dyDescent="0.35">
      <c r="A21" s="18">
        <v>45536</v>
      </c>
      <c r="B21" s="19">
        <v>0.2</v>
      </c>
    </row>
    <row r="22" spans="1:2" x14ac:dyDescent="0.35">
      <c r="A22" s="18">
        <v>45627</v>
      </c>
      <c r="B22" s="19">
        <v>0.2</v>
      </c>
    </row>
    <row r="23" spans="1:2" x14ac:dyDescent="0.35">
      <c r="A23" s="18">
        <v>45717</v>
      </c>
      <c r="B23" s="19">
        <v>0.9</v>
      </c>
    </row>
    <row r="24" spans="1:2" x14ac:dyDescent="0.35">
      <c r="A24" s="18">
        <v>45809</v>
      </c>
      <c r="B24" s="19">
        <v>0.7</v>
      </c>
    </row>
    <row r="25" spans="1:2" x14ac:dyDescent="0.35">
      <c r="A25" s="18">
        <v>45901</v>
      </c>
      <c r="B25" s="19">
        <v>1.3</v>
      </c>
    </row>
    <row r="26" spans="1:2" x14ac:dyDescent="0.35">
      <c r="A26" s="18">
        <v>45992</v>
      </c>
      <c r="B26" s="19">
        <v>0.6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A03984-67C3-41C2-AF6F-187A39C60695}">
  <dimension ref="A1:B85"/>
  <sheetViews>
    <sheetView workbookViewId="0">
      <selection activeCell="C2" sqref="C2"/>
    </sheetView>
  </sheetViews>
  <sheetFormatPr defaultRowHeight="14.5" x14ac:dyDescent="0.35"/>
  <sheetData>
    <row r="1" spans="1:2" ht="81.5" x14ac:dyDescent="0.35">
      <c r="A1" s="10" t="s">
        <v>17</v>
      </c>
      <c r="B1" s="11" t="s">
        <v>18</v>
      </c>
    </row>
    <row r="2" spans="1:2" x14ac:dyDescent="0.35">
      <c r="A2" s="12">
        <v>38504</v>
      </c>
      <c r="B2" s="13">
        <v>1</v>
      </c>
    </row>
    <row r="3" spans="1:2" x14ac:dyDescent="0.35">
      <c r="A3" s="12">
        <v>38596</v>
      </c>
      <c r="B3" s="13">
        <v>1.1000000000000001</v>
      </c>
    </row>
    <row r="4" spans="1:2" x14ac:dyDescent="0.35">
      <c r="A4" s="12">
        <v>38687</v>
      </c>
      <c r="B4" s="13">
        <v>0.4</v>
      </c>
    </row>
    <row r="5" spans="1:2" x14ac:dyDescent="0.35">
      <c r="A5" s="12">
        <v>38777</v>
      </c>
      <c r="B5" s="13">
        <v>1.1000000000000001</v>
      </c>
    </row>
    <row r="6" spans="1:2" x14ac:dyDescent="0.35">
      <c r="A6" s="12">
        <v>38869</v>
      </c>
      <c r="B6" s="13">
        <v>1.8</v>
      </c>
    </row>
    <row r="7" spans="1:2" x14ac:dyDescent="0.35">
      <c r="A7" s="12">
        <v>38961</v>
      </c>
      <c r="B7" s="13">
        <v>1.2</v>
      </c>
    </row>
    <row r="8" spans="1:2" x14ac:dyDescent="0.35">
      <c r="A8" s="12">
        <v>39052</v>
      </c>
      <c r="B8" s="13">
        <v>0.1</v>
      </c>
    </row>
    <row r="9" spans="1:2" x14ac:dyDescent="0.35">
      <c r="A9" s="12">
        <v>39142</v>
      </c>
      <c r="B9" s="13">
        <v>0.4</v>
      </c>
    </row>
    <row r="10" spans="1:2" x14ac:dyDescent="0.35">
      <c r="A10" s="12">
        <v>39234</v>
      </c>
      <c r="B10" s="13">
        <v>1.3</v>
      </c>
    </row>
    <row r="11" spans="1:2" x14ac:dyDescent="0.35">
      <c r="A11" s="12">
        <v>39326</v>
      </c>
      <c r="B11" s="13">
        <v>0.9</v>
      </c>
    </row>
    <row r="12" spans="1:2" x14ac:dyDescent="0.35">
      <c r="A12" s="12">
        <v>39417</v>
      </c>
      <c r="B12" s="13">
        <v>1</v>
      </c>
    </row>
    <row r="13" spans="1:2" x14ac:dyDescent="0.35">
      <c r="A13" s="12">
        <v>39508</v>
      </c>
      <c r="B13" s="13">
        <v>1.8</v>
      </c>
    </row>
    <row r="14" spans="1:2" x14ac:dyDescent="0.35">
      <c r="A14" s="12">
        <v>39600</v>
      </c>
      <c r="B14" s="13">
        <v>2</v>
      </c>
    </row>
    <row r="15" spans="1:2" x14ac:dyDescent="0.35">
      <c r="A15" s="12">
        <v>39692</v>
      </c>
      <c r="B15" s="13">
        <v>1.3</v>
      </c>
    </row>
    <row r="16" spans="1:2" x14ac:dyDescent="0.35">
      <c r="A16" s="12">
        <v>39783</v>
      </c>
      <c r="B16" s="13">
        <v>-0.7</v>
      </c>
    </row>
    <row r="17" spans="1:2" x14ac:dyDescent="0.35">
      <c r="A17" s="12">
        <v>39873</v>
      </c>
      <c r="B17" s="13">
        <v>-0.2</v>
      </c>
    </row>
    <row r="18" spans="1:2" x14ac:dyDescent="0.35">
      <c r="A18" s="12">
        <v>39965</v>
      </c>
      <c r="B18" s="13">
        <v>-1.1000000000000001</v>
      </c>
    </row>
    <row r="19" spans="1:2" x14ac:dyDescent="0.35">
      <c r="A19" s="12">
        <v>40057</v>
      </c>
      <c r="B19" s="13">
        <v>1</v>
      </c>
    </row>
    <row r="20" spans="1:2" x14ac:dyDescent="0.35">
      <c r="A20" s="12">
        <v>40148</v>
      </c>
      <c r="B20" s="13">
        <v>0.7</v>
      </c>
    </row>
    <row r="21" spans="1:2" x14ac:dyDescent="0.35">
      <c r="A21" s="12">
        <v>40238</v>
      </c>
      <c r="B21" s="13">
        <v>1.4</v>
      </c>
    </row>
    <row r="22" spans="1:2" x14ac:dyDescent="0.35">
      <c r="A22" s="12">
        <v>40330</v>
      </c>
      <c r="B22" s="13">
        <v>1.3</v>
      </c>
    </row>
    <row r="23" spans="1:2" x14ac:dyDescent="0.35">
      <c r="A23" s="12">
        <v>40422</v>
      </c>
      <c r="B23" s="13">
        <v>1.2</v>
      </c>
    </row>
    <row r="24" spans="1:2" x14ac:dyDescent="0.35">
      <c r="A24" s="12">
        <v>40513</v>
      </c>
      <c r="B24" s="13">
        <v>0.6</v>
      </c>
    </row>
    <row r="25" spans="1:2" x14ac:dyDescent="0.35">
      <c r="A25" s="12">
        <v>40603</v>
      </c>
      <c r="B25" s="13">
        <v>1.7</v>
      </c>
    </row>
    <row r="26" spans="1:2" x14ac:dyDescent="0.35">
      <c r="A26" s="12">
        <v>40695</v>
      </c>
      <c r="B26" s="13">
        <v>0.9</v>
      </c>
    </row>
    <row r="27" spans="1:2" x14ac:dyDescent="0.35">
      <c r="A27" s="12">
        <v>40787</v>
      </c>
      <c r="B27" s="13">
        <v>0.6</v>
      </c>
    </row>
    <row r="28" spans="1:2" x14ac:dyDescent="0.35">
      <c r="A28" s="12">
        <v>40878</v>
      </c>
      <c r="B28" s="13">
        <v>0</v>
      </c>
    </row>
    <row r="29" spans="1:2" x14ac:dyDescent="0.35">
      <c r="A29" s="12">
        <v>40969</v>
      </c>
      <c r="B29" s="13">
        <v>-0.4</v>
      </c>
    </row>
    <row r="30" spans="1:2" x14ac:dyDescent="0.35">
      <c r="A30" s="12">
        <v>41061</v>
      </c>
      <c r="B30" s="13">
        <v>0.5</v>
      </c>
    </row>
    <row r="31" spans="1:2" x14ac:dyDescent="0.35">
      <c r="A31" s="12">
        <v>41153</v>
      </c>
      <c r="B31" s="13">
        <v>0.6</v>
      </c>
    </row>
    <row r="32" spans="1:2" x14ac:dyDescent="0.35">
      <c r="A32" s="12">
        <v>41244</v>
      </c>
      <c r="B32" s="13">
        <v>0.1</v>
      </c>
    </row>
    <row r="33" spans="1:2" x14ac:dyDescent="0.35">
      <c r="A33" s="12">
        <v>41334</v>
      </c>
      <c r="B33" s="13">
        <v>-0.2</v>
      </c>
    </row>
    <row r="34" spans="1:2" x14ac:dyDescent="0.35">
      <c r="A34" s="12">
        <v>41426</v>
      </c>
      <c r="B34" s="13">
        <v>0.2</v>
      </c>
    </row>
    <row r="35" spans="1:2" x14ac:dyDescent="0.35">
      <c r="A35" s="12">
        <v>41518</v>
      </c>
      <c r="B35" s="13">
        <v>0.9</v>
      </c>
    </row>
    <row r="36" spans="1:2" x14ac:dyDescent="0.35">
      <c r="A36" s="12">
        <v>41609</v>
      </c>
      <c r="B36" s="13">
        <v>0.4</v>
      </c>
    </row>
    <row r="37" spans="1:2" x14ac:dyDescent="0.35">
      <c r="A37" s="12">
        <v>41699</v>
      </c>
      <c r="B37" s="13">
        <v>0.7</v>
      </c>
    </row>
    <row r="38" spans="1:2" x14ac:dyDescent="0.35">
      <c r="A38" s="12">
        <v>41791</v>
      </c>
      <c r="B38" s="13">
        <v>0.4</v>
      </c>
    </row>
    <row r="39" spans="1:2" x14ac:dyDescent="0.35">
      <c r="A39" s="12">
        <v>41883</v>
      </c>
      <c r="B39" s="13">
        <v>0.4</v>
      </c>
    </row>
    <row r="40" spans="1:2" x14ac:dyDescent="0.35">
      <c r="A40" s="12">
        <v>41974</v>
      </c>
      <c r="B40" s="13">
        <v>0.1</v>
      </c>
    </row>
    <row r="41" spans="1:2" x14ac:dyDescent="0.35">
      <c r="A41" s="12">
        <v>42064</v>
      </c>
      <c r="B41" s="13">
        <v>0.1</v>
      </c>
    </row>
    <row r="42" spans="1:2" x14ac:dyDescent="0.35">
      <c r="A42" s="12">
        <v>42156</v>
      </c>
      <c r="B42" s="13">
        <v>0.3</v>
      </c>
    </row>
    <row r="43" spans="1:2" x14ac:dyDescent="0.35">
      <c r="A43" s="12">
        <v>42248</v>
      </c>
      <c r="B43" s="13">
        <v>0.2</v>
      </c>
    </row>
    <row r="44" spans="1:2" x14ac:dyDescent="0.35">
      <c r="A44" s="12">
        <v>42339</v>
      </c>
      <c r="B44" s="13">
        <v>0.5</v>
      </c>
    </row>
    <row r="45" spans="1:2" x14ac:dyDescent="0.35">
      <c r="A45" s="12">
        <v>42430</v>
      </c>
      <c r="B45" s="13">
        <v>0</v>
      </c>
    </row>
    <row r="46" spans="1:2" x14ac:dyDescent="0.35">
      <c r="A46" s="12">
        <v>42522</v>
      </c>
      <c r="B46" s="13">
        <v>0.3</v>
      </c>
    </row>
    <row r="47" spans="1:2" x14ac:dyDescent="0.35">
      <c r="A47" s="12">
        <v>42614</v>
      </c>
      <c r="B47" s="13">
        <v>0.4</v>
      </c>
    </row>
    <row r="48" spans="1:2" x14ac:dyDescent="0.35">
      <c r="A48" s="12">
        <v>42705</v>
      </c>
      <c r="B48" s="13">
        <v>0.3</v>
      </c>
    </row>
    <row r="49" spans="1:2" x14ac:dyDescent="0.35">
      <c r="A49" s="12">
        <v>42795</v>
      </c>
      <c r="B49" s="13">
        <v>0.5</v>
      </c>
    </row>
    <row r="50" spans="1:2" x14ac:dyDescent="0.35">
      <c r="A50" s="12">
        <v>42887</v>
      </c>
      <c r="B50" s="13">
        <v>0.1</v>
      </c>
    </row>
    <row r="51" spans="1:2" x14ac:dyDescent="0.35">
      <c r="A51" s="12">
        <v>42979</v>
      </c>
      <c r="B51" s="13">
        <v>0.7</v>
      </c>
    </row>
    <row r="52" spans="1:2" x14ac:dyDescent="0.35">
      <c r="A52" s="12">
        <v>43070</v>
      </c>
      <c r="B52" s="13">
        <v>0.8</v>
      </c>
    </row>
    <row r="53" spans="1:2" x14ac:dyDescent="0.35">
      <c r="A53" s="12">
        <v>43160</v>
      </c>
      <c r="B53" s="13">
        <v>0.4</v>
      </c>
    </row>
    <row r="54" spans="1:2" x14ac:dyDescent="0.35">
      <c r="A54" s="12">
        <v>43252</v>
      </c>
      <c r="B54" s="13">
        <v>0.4</v>
      </c>
    </row>
    <row r="55" spans="1:2" x14ac:dyDescent="0.35">
      <c r="A55" s="12">
        <v>43344</v>
      </c>
      <c r="B55" s="13">
        <v>0.4</v>
      </c>
    </row>
    <row r="56" spans="1:2" x14ac:dyDescent="0.35">
      <c r="A56" s="12">
        <v>43435</v>
      </c>
      <c r="B56" s="13">
        <v>0.6</v>
      </c>
    </row>
    <row r="57" spans="1:2" x14ac:dyDescent="0.35">
      <c r="A57" s="12">
        <v>43525</v>
      </c>
      <c r="B57" s="13">
        <v>0</v>
      </c>
    </row>
    <row r="58" spans="1:2" x14ac:dyDescent="0.35">
      <c r="A58" s="12">
        <v>43617</v>
      </c>
      <c r="B58" s="13">
        <v>0.6</v>
      </c>
    </row>
    <row r="59" spans="1:2" x14ac:dyDescent="0.35">
      <c r="A59" s="12">
        <v>43709</v>
      </c>
      <c r="B59" s="13">
        <v>0.1</v>
      </c>
    </row>
    <row r="60" spans="1:2" x14ac:dyDescent="0.35">
      <c r="A60" s="12">
        <v>43800</v>
      </c>
      <c r="B60" s="13">
        <v>0.3</v>
      </c>
    </row>
    <row r="61" spans="1:2" x14ac:dyDescent="0.35">
      <c r="A61" s="12">
        <v>43891</v>
      </c>
      <c r="B61" s="13">
        <v>0.2</v>
      </c>
    </row>
    <row r="62" spans="1:2" x14ac:dyDescent="0.35">
      <c r="A62" s="12">
        <v>43983</v>
      </c>
      <c r="B62" s="13">
        <v>-2.6</v>
      </c>
    </row>
    <row r="63" spans="1:2" x14ac:dyDescent="0.35">
      <c r="A63" s="12">
        <v>44075</v>
      </c>
      <c r="B63" s="13">
        <v>1.3</v>
      </c>
    </row>
    <row r="64" spans="1:2" x14ac:dyDescent="0.35">
      <c r="A64" s="12">
        <v>44166</v>
      </c>
      <c r="B64" s="13">
        <v>0.9</v>
      </c>
    </row>
    <row r="65" spans="1:2" x14ac:dyDescent="0.35">
      <c r="A65" s="12">
        <v>44256</v>
      </c>
      <c r="B65" s="13">
        <v>0.5</v>
      </c>
    </row>
    <row r="66" spans="1:2" x14ac:dyDescent="0.35">
      <c r="A66" s="12">
        <v>44348</v>
      </c>
      <c r="B66" s="13">
        <v>0.7</v>
      </c>
    </row>
    <row r="67" spans="1:2" x14ac:dyDescent="0.35">
      <c r="A67" s="12">
        <v>44440</v>
      </c>
      <c r="B67" s="13">
        <v>0.6</v>
      </c>
    </row>
    <row r="68" spans="1:2" x14ac:dyDescent="0.35">
      <c r="A68" s="12">
        <v>44531</v>
      </c>
      <c r="B68" s="13">
        <v>0.8</v>
      </c>
    </row>
    <row r="69" spans="1:2" x14ac:dyDescent="0.35">
      <c r="A69" s="12">
        <v>44621</v>
      </c>
      <c r="B69" s="13">
        <v>1.7</v>
      </c>
    </row>
    <row r="70" spans="1:2" x14ac:dyDescent="0.35">
      <c r="A70" s="12">
        <v>44713</v>
      </c>
      <c r="B70" s="13">
        <v>1.4</v>
      </c>
    </row>
    <row r="71" spans="1:2" x14ac:dyDescent="0.35">
      <c r="A71" s="12">
        <v>44805</v>
      </c>
      <c r="B71" s="13">
        <v>2.7</v>
      </c>
    </row>
    <row r="72" spans="1:2" x14ac:dyDescent="0.35">
      <c r="A72" s="12">
        <v>44896</v>
      </c>
      <c r="B72" s="13">
        <v>3.2</v>
      </c>
    </row>
    <row r="73" spans="1:2" x14ac:dyDescent="0.35">
      <c r="A73" s="12">
        <v>44986</v>
      </c>
      <c r="B73" s="13">
        <v>1.9</v>
      </c>
    </row>
    <row r="74" spans="1:2" x14ac:dyDescent="0.35">
      <c r="A74" s="12">
        <v>45078</v>
      </c>
      <c r="B74" s="13">
        <v>1.6</v>
      </c>
    </row>
    <row r="75" spans="1:2" x14ac:dyDescent="0.35">
      <c r="A75" s="12">
        <v>45170</v>
      </c>
      <c r="B75" s="13">
        <v>2</v>
      </c>
    </row>
    <row r="76" spans="1:2" x14ac:dyDescent="0.35">
      <c r="A76" s="12">
        <v>45261</v>
      </c>
      <c r="B76" s="13">
        <v>1.2</v>
      </c>
    </row>
    <row r="77" spans="1:2" x14ac:dyDescent="0.35">
      <c r="A77" s="12">
        <v>45352</v>
      </c>
      <c r="B77" s="13">
        <v>1.7</v>
      </c>
    </row>
    <row r="78" spans="1:2" x14ac:dyDescent="0.35">
      <c r="A78" s="12">
        <v>45444</v>
      </c>
      <c r="B78" s="13">
        <v>1.3</v>
      </c>
    </row>
    <row r="79" spans="1:2" x14ac:dyDescent="0.35">
      <c r="A79" s="12">
        <v>45536</v>
      </c>
      <c r="B79" s="13">
        <v>0.5</v>
      </c>
    </row>
    <row r="80" spans="1:2" x14ac:dyDescent="0.35">
      <c r="A80" s="12">
        <v>45627</v>
      </c>
      <c r="B80" s="13">
        <v>0.5</v>
      </c>
    </row>
    <row r="81" spans="1:2" x14ac:dyDescent="0.35">
      <c r="A81" s="12">
        <v>45717</v>
      </c>
      <c r="B81" s="13">
        <v>1.1000000000000001</v>
      </c>
    </row>
    <row r="82" spans="1:2" x14ac:dyDescent="0.35">
      <c r="A82" s="12">
        <v>45809</v>
      </c>
      <c r="B82" s="13">
        <v>0.5</v>
      </c>
    </row>
    <row r="83" spans="1:2" x14ac:dyDescent="0.35">
      <c r="A83" s="12">
        <v>45901</v>
      </c>
      <c r="B83" s="13">
        <v>0.6</v>
      </c>
    </row>
    <row r="84" spans="1:2" x14ac:dyDescent="0.35">
      <c r="A84" s="12">
        <v>45992</v>
      </c>
      <c r="B84" s="13">
        <v>0.2</v>
      </c>
    </row>
    <row r="85" spans="1:2" x14ac:dyDescent="0.35">
      <c r="A85" s="12">
        <v>46082</v>
      </c>
      <c r="B85" s="13">
        <v>1.4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B7856B-CB13-46AE-939A-B40B58D44D69}">
  <dimension ref="A1:J188"/>
  <sheetViews>
    <sheetView tabSelected="1" topLeftCell="A156" workbookViewId="0">
      <selection sqref="A1:J188"/>
    </sheetView>
  </sheetViews>
  <sheetFormatPr defaultRowHeight="14.5" x14ac:dyDescent="0.35"/>
  <cols>
    <col min="1" max="1" width="10.08984375" bestFit="1" customWidth="1"/>
    <col min="2" max="2" width="13.7265625" customWidth="1"/>
    <col min="3" max="3" width="14.6328125" customWidth="1"/>
    <col min="4" max="4" width="18.453125" customWidth="1"/>
    <col min="5" max="5" width="18.81640625" customWidth="1"/>
    <col min="6" max="6" width="18.90625" customWidth="1"/>
    <col min="7" max="7" width="18.26953125" customWidth="1"/>
    <col min="8" max="8" width="17.1796875" customWidth="1"/>
    <col min="9" max="9" width="24.90625" customWidth="1"/>
    <col min="10" max="10" width="22.6328125" customWidth="1"/>
  </cols>
  <sheetData>
    <row r="1" spans="1:10" ht="15" thickBot="1" x14ac:dyDescent="0.4">
      <c r="A1" s="14" t="s">
        <v>19</v>
      </c>
      <c r="B1" s="15" t="s">
        <v>20</v>
      </c>
      <c r="C1" s="15" t="s">
        <v>21</v>
      </c>
      <c r="D1" s="15" t="s">
        <v>26</v>
      </c>
      <c r="E1" s="15" t="s">
        <v>25</v>
      </c>
      <c r="F1" s="15" t="s">
        <v>24</v>
      </c>
      <c r="G1" s="15" t="s">
        <v>23</v>
      </c>
      <c r="H1" s="15" t="s">
        <v>22</v>
      </c>
      <c r="I1" s="15" t="s">
        <v>28</v>
      </c>
      <c r="J1" s="15" t="s">
        <v>29</v>
      </c>
    </row>
    <row r="2" spans="1:10" x14ac:dyDescent="0.35">
      <c r="A2" s="7">
        <v>43839</v>
      </c>
      <c r="B2" s="20">
        <f>_xlfn.XLOOKUP(A2, CPI!A:A, CPI!B:B, "missing",-1,1)/6.5</f>
        <v>0.10769230769230768</v>
      </c>
      <c r="C2" s="21">
        <f>_xlfn.XLOOKUP(A2, SLCI!A:A, SLCI!B:B, "missing", -1)/6.5</f>
        <v>4.6153846153846149E-2</v>
      </c>
      <c r="D2" s="9">
        <f>_xlfn.XLOOKUP(A2, 'MaxPayPoints Transposed'!A:A, 'MaxPayPoints Transposed'!D:D, "missing", -1)/26</f>
        <v>2405.5</v>
      </c>
      <c r="E2" s="9">
        <f>_xlfn.XLOOKUP(A2, 'MaxPayPoints Transposed'!A:A, 'MaxPayPoints Transposed'!E:E, "missing", -1)/26</f>
        <v>2699.7692307692309</v>
      </c>
      <c r="F2" s="9">
        <f>_xlfn.XLOOKUP(A2, 'MaxPayPoints Transposed'!A:A, 'MaxPayPoints Transposed'!F:F, "missing", -1)/26</f>
        <v>2991.1153846153848</v>
      </c>
      <c r="G2" s="9">
        <f>_xlfn.XLOOKUP(A2, 'MaxPayPoints Transposed'!A:A, 'MaxPayPoints Transposed'!G:G, "missing", -1)/26</f>
        <v>3440.8846153846152</v>
      </c>
      <c r="H2" s="9">
        <f>_xlfn.XLOOKUP(A2, 'MaxPayPoints Transposed'!A:A, 'MaxPayPoints Transposed'!H:H, "missing", -1)/26</f>
        <v>4150.3461538461543</v>
      </c>
      <c r="I2" s="9">
        <f>_xlfn.XLOOKUP(A2, 'MaxPayPoints Transposed'!A:A, 'MaxPayPoints Transposed'!I:I, "missing", -1)/26</f>
        <v>5035.1923076923076</v>
      </c>
      <c r="J2" s="9">
        <f>_xlfn.XLOOKUP(A2, 'MaxPayPoints Transposed'!A:A, 'MaxPayPoints Transposed'!J:J, "missing", -1)/26</f>
        <v>5471.8846153846152</v>
      </c>
    </row>
    <row r="3" spans="1:10" x14ac:dyDescent="0.35">
      <c r="A3" s="7">
        <v>43853</v>
      </c>
      <c r="B3" s="20">
        <f>_xlfn.XLOOKUP(A3, CPI!A:A, CPI!B:B, "missing",-1,1)/6.5</f>
        <v>0.10769230769230768</v>
      </c>
      <c r="C3" s="21">
        <f>_xlfn.XLOOKUP(A3, SLCI!A:A, SLCI!B:B, "missing", -1)/6.5</f>
        <v>4.6153846153846149E-2</v>
      </c>
      <c r="D3" s="9">
        <f>_xlfn.XLOOKUP(A3, 'MaxPayPoints Transposed'!A:A, 'MaxPayPoints Transposed'!D:D, "missing", -1)/26</f>
        <v>2405.5</v>
      </c>
      <c r="E3" s="9">
        <f>_xlfn.XLOOKUP(A3, 'MaxPayPoints Transposed'!A:A, 'MaxPayPoints Transposed'!E:E, "missing", -1)/26</f>
        <v>2699.7692307692309</v>
      </c>
      <c r="F3" s="9">
        <f>_xlfn.XLOOKUP(A3, 'MaxPayPoints Transposed'!A:A, 'MaxPayPoints Transposed'!F:F, "missing", -1)/26</f>
        <v>2991.1153846153848</v>
      </c>
      <c r="G3" s="9">
        <f>_xlfn.XLOOKUP(A3, 'MaxPayPoints Transposed'!A:A, 'MaxPayPoints Transposed'!G:G, "missing", -1)/26</f>
        <v>3440.8846153846152</v>
      </c>
      <c r="H3" s="9">
        <f>_xlfn.XLOOKUP(A3, 'MaxPayPoints Transposed'!A:A, 'MaxPayPoints Transposed'!H:H, "missing", -1)/26</f>
        <v>4150.3461538461543</v>
      </c>
      <c r="I3" s="9">
        <f>_xlfn.XLOOKUP(A3, 'MaxPayPoints Transposed'!A:A, 'MaxPayPoints Transposed'!I:I, "missing", -1)/26</f>
        <v>5035.1923076923076</v>
      </c>
      <c r="J3" s="9">
        <f>_xlfn.XLOOKUP(A3, 'MaxPayPoints Transposed'!A:A, 'MaxPayPoints Transposed'!J:J, "missing", -1)/26</f>
        <v>5471.8846153846152</v>
      </c>
    </row>
    <row r="4" spans="1:10" x14ac:dyDescent="0.35">
      <c r="A4" s="7">
        <v>43867</v>
      </c>
      <c r="B4" s="20">
        <f>_xlfn.XLOOKUP(A4, CPI!A:A, CPI!B:B, "missing",-1,1)/6.5</f>
        <v>0.10769230769230768</v>
      </c>
      <c r="C4" s="21">
        <f>_xlfn.XLOOKUP(A4, SLCI!A:A, SLCI!B:B, "missing", -1)/6.5</f>
        <v>4.6153846153846149E-2</v>
      </c>
      <c r="D4" s="9">
        <f>_xlfn.XLOOKUP(A4, 'MaxPayPoints Transposed'!A:A, 'MaxPayPoints Transposed'!D:D, "missing", -1)/26</f>
        <v>2405.5</v>
      </c>
      <c r="E4" s="9">
        <f>_xlfn.XLOOKUP(A4, 'MaxPayPoints Transposed'!A:A, 'MaxPayPoints Transposed'!E:E, "missing", -1)/26</f>
        <v>2699.7692307692309</v>
      </c>
      <c r="F4" s="9">
        <f>_xlfn.XLOOKUP(A4, 'MaxPayPoints Transposed'!A:A, 'MaxPayPoints Transposed'!F:F, "missing", -1)/26</f>
        <v>2991.1153846153848</v>
      </c>
      <c r="G4" s="9">
        <f>_xlfn.XLOOKUP(A4, 'MaxPayPoints Transposed'!A:A, 'MaxPayPoints Transposed'!G:G, "missing", -1)/26</f>
        <v>3440.8846153846152</v>
      </c>
      <c r="H4" s="9">
        <f>_xlfn.XLOOKUP(A4, 'MaxPayPoints Transposed'!A:A, 'MaxPayPoints Transposed'!H:H, "missing", -1)/26</f>
        <v>4150.3461538461543</v>
      </c>
      <c r="I4" s="9">
        <f>_xlfn.XLOOKUP(A4, 'MaxPayPoints Transposed'!A:A, 'MaxPayPoints Transposed'!I:I, "missing", -1)/26</f>
        <v>5035.1923076923076</v>
      </c>
      <c r="J4" s="9">
        <f>_xlfn.XLOOKUP(A4, 'MaxPayPoints Transposed'!A:A, 'MaxPayPoints Transposed'!J:J, "missing", -1)/26</f>
        <v>5471.8846153846152</v>
      </c>
    </row>
    <row r="5" spans="1:10" x14ac:dyDescent="0.35">
      <c r="A5" s="7">
        <v>43881</v>
      </c>
      <c r="B5" s="20">
        <f>_xlfn.XLOOKUP(A5, CPI!A:A, CPI!B:B, "missing",-1,1)/6.5</f>
        <v>0.10769230769230768</v>
      </c>
      <c r="C5" s="21">
        <f>_xlfn.XLOOKUP(A5, SLCI!A:A, SLCI!B:B, "missing", -1)/6.5</f>
        <v>4.6153846153846149E-2</v>
      </c>
      <c r="D5" s="9">
        <f>_xlfn.XLOOKUP(A5, 'MaxPayPoints Transposed'!A:A, 'MaxPayPoints Transposed'!D:D, "missing", -1)/26</f>
        <v>2405.5</v>
      </c>
      <c r="E5" s="9">
        <f>_xlfn.XLOOKUP(A5, 'MaxPayPoints Transposed'!A:A, 'MaxPayPoints Transposed'!E:E, "missing", -1)/26</f>
        <v>2699.7692307692309</v>
      </c>
      <c r="F5" s="9">
        <f>_xlfn.XLOOKUP(A5, 'MaxPayPoints Transposed'!A:A, 'MaxPayPoints Transposed'!F:F, "missing", -1)/26</f>
        <v>2991.1153846153848</v>
      </c>
      <c r="G5" s="9">
        <f>_xlfn.XLOOKUP(A5, 'MaxPayPoints Transposed'!A:A, 'MaxPayPoints Transposed'!G:G, "missing", -1)/26</f>
        <v>3440.8846153846152</v>
      </c>
      <c r="H5" s="9">
        <f>_xlfn.XLOOKUP(A5, 'MaxPayPoints Transposed'!A:A, 'MaxPayPoints Transposed'!H:H, "missing", -1)/26</f>
        <v>4150.3461538461543</v>
      </c>
      <c r="I5" s="9">
        <f>_xlfn.XLOOKUP(A5, 'MaxPayPoints Transposed'!A:A, 'MaxPayPoints Transposed'!I:I, "missing", -1)/26</f>
        <v>5035.1923076923076</v>
      </c>
      <c r="J5" s="9">
        <f>_xlfn.XLOOKUP(A5, 'MaxPayPoints Transposed'!A:A, 'MaxPayPoints Transposed'!J:J, "missing", -1)/26</f>
        <v>5471.8846153846152</v>
      </c>
    </row>
    <row r="6" spans="1:10" x14ac:dyDescent="0.35">
      <c r="A6" s="7">
        <v>43895</v>
      </c>
      <c r="B6" s="20">
        <f>_xlfn.XLOOKUP(A6, CPI!A:A, CPI!B:B, "missing",-1,1)/6.5</f>
        <v>6.1538461538461542E-2</v>
      </c>
      <c r="C6" s="21">
        <f>_xlfn.XLOOKUP(A6, SLCI!A:A, SLCI!B:B, "missing", -1)/6.5</f>
        <v>3.0769230769230771E-2</v>
      </c>
      <c r="D6" s="9">
        <f>_xlfn.XLOOKUP(A6, 'MaxPayPoints Transposed'!A:A, 'MaxPayPoints Transposed'!D:D, "missing", -1)/26</f>
        <v>2405.5</v>
      </c>
      <c r="E6" s="9">
        <f>_xlfn.XLOOKUP(A6, 'MaxPayPoints Transposed'!A:A, 'MaxPayPoints Transposed'!E:E, "missing", -1)/26</f>
        <v>2699.7692307692309</v>
      </c>
      <c r="F6" s="9">
        <f>_xlfn.XLOOKUP(A6, 'MaxPayPoints Transposed'!A:A, 'MaxPayPoints Transposed'!F:F, "missing", -1)/26</f>
        <v>2991.1153846153848</v>
      </c>
      <c r="G6" s="9">
        <f>_xlfn.XLOOKUP(A6, 'MaxPayPoints Transposed'!A:A, 'MaxPayPoints Transposed'!G:G, "missing", -1)/26</f>
        <v>3440.8846153846152</v>
      </c>
      <c r="H6" s="9">
        <f>_xlfn.XLOOKUP(A6, 'MaxPayPoints Transposed'!A:A, 'MaxPayPoints Transposed'!H:H, "missing", -1)/26</f>
        <v>4150.3461538461543</v>
      </c>
      <c r="I6" s="9">
        <f>_xlfn.XLOOKUP(A6, 'MaxPayPoints Transposed'!A:A, 'MaxPayPoints Transposed'!I:I, "missing", -1)/26</f>
        <v>5035.1923076923076</v>
      </c>
      <c r="J6" s="9">
        <f>_xlfn.XLOOKUP(A6, 'MaxPayPoints Transposed'!A:A, 'MaxPayPoints Transposed'!J:J, "missing", -1)/26</f>
        <v>5471.8846153846152</v>
      </c>
    </row>
    <row r="7" spans="1:10" x14ac:dyDescent="0.35">
      <c r="A7" s="7">
        <v>43909</v>
      </c>
      <c r="B7" s="20">
        <f>_xlfn.XLOOKUP(A7, CPI!A:A, CPI!B:B, "missing",-1,1)/6.5</f>
        <v>6.1538461538461542E-2</v>
      </c>
      <c r="C7" s="21">
        <f>_xlfn.XLOOKUP(A7, SLCI!A:A, SLCI!B:B, "missing", -1)/6.5</f>
        <v>3.0769230769230771E-2</v>
      </c>
      <c r="D7" s="9">
        <f>_xlfn.XLOOKUP(A7, 'MaxPayPoints Transposed'!A:A, 'MaxPayPoints Transposed'!D:D, "missing", -1)/26</f>
        <v>2405.5</v>
      </c>
      <c r="E7" s="9">
        <f>_xlfn.XLOOKUP(A7, 'MaxPayPoints Transposed'!A:A, 'MaxPayPoints Transposed'!E:E, "missing", -1)/26</f>
        <v>2699.7692307692309</v>
      </c>
      <c r="F7" s="9">
        <f>_xlfn.XLOOKUP(A7, 'MaxPayPoints Transposed'!A:A, 'MaxPayPoints Transposed'!F:F, "missing", -1)/26</f>
        <v>2991.1153846153848</v>
      </c>
      <c r="G7" s="9">
        <f>_xlfn.XLOOKUP(A7, 'MaxPayPoints Transposed'!A:A, 'MaxPayPoints Transposed'!G:G, "missing", -1)/26</f>
        <v>3440.8846153846152</v>
      </c>
      <c r="H7" s="9">
        <f>_xlfn.XLOOKUP(A7, 'MaxPayPoints Transposed'!A:A, 'MaxPayPoints Transposed'!H:H, "missing", -1)/26</f>
        <v>4150.3461538461543</v>
      </c>
      <c r="I7" s="9">
        <f>_xlfn.XLOOKUP(A7, 'MaxPayPoints Transposed'!A:A, 'MaxPayPoints Transposed'!I:I, "missing", -1)/26</f>
        <v>5035.1923076923076</v>
      </c>
      <c r="J7" s="9">
        <f>_xlfn.XLOOKUP(A7, 'MaxPayPoints Transposed'!A:A, 'MaxPayPoints Transposed'!J:J, "missing", -1)/26</f>
        <v>5471.8846153846152</v>
      </c>
    </row>
    <row r="8" spans="1:10" x14ac:dyDescent="0.35">
      <c r="A8" s="7">
        <v>43923</v>
      </c>
      <c r="B8" s="20">
        <f>_xlfn.XLOOKUP(A8, CPI!A:A, CPI!B:B, "missing",-1,1)/6.5</f>
        <v>6.1538461538461542E-2</v>
      </c>
      <c r="C8" s="21">
        <f>_xlfn.XLOOKUP(A8, SLCI!A:A, SLCI!B:B, "missing", -1)/6.5</f>
        <v>3.0769230769230771E-2</v>
      </c>
      <c r="D8" s="9">
        <f>_xlfn.XLOOKUP(A8, 'MaxPayPoints Transposed'!A:A, 'MaxPayPoints Transposed'!D:D, "missing", -1)/26</f>
        <v>2405.5</v>
      </c>
      <c r="E8" s="9">
        <f>_xlfn.XLOOKUP(A8, 'MaxPayPoints Transposed'!A:A, 'MaxPayPoints Transposed'!E:E, "missing", -1)/26</f>
        <v>2699.7692307692309</v>
      </c>
      <c r="F8" s="9">
        <f>_xlfn.XLOOKUP(A8, 'MaxPayPoints Transposed'!A:A, 'MaxPayPoints Transposed'!F:F, "missing", -1)/26</f>
        <v>2991.1153846153848</v>
      </c>
      <c r="G8" s="9">
        <f>_xlfn.XLOOKUP(A8, 'MaxPayPoints Transposed'!A:A, 'MaxPayPoints Transposed'!G:G, "missing", -1)/26</f>
        <v>3440.8846153846152</v>
      </c>
      <c r="H8" s="9">
        <f>_xlfn.XLOOKUP(A8, 'MaxPayPoints Transposed'!A:A, 'MaxPayPoints Transposed'!H:H, "missing", -1)/26</f>
        <v>4150.3461538461543</v>
      </c>
      <c r="I8" s="9">
        <f>_xlfn.XLOOKUP(A8, 'MaxPayPoints Transposed'!A:A, 'MaxPayPoints Transposed'!I:I, "missing", -1)/26</f>
        <v>5035.1923076923076</v>
      </c>
      <c r="J8" s="9">
        <f>_xlfn.XLOOKUP(A8, 'MaxPayPoints Transposed'!A:A, 'MaxPayPoints Transposed'!J:J, "missing", -1)/26</f>
        <v>5471.8846153846152</v>
      </c>
    </row>
    <row r="9" spans="1:10" x14ac:dyDescent="0.35">
      <c r="A9" s="7">
        <v>43937</v>
      </c>
      <c r="B9" s="20">
        <f>_xlfn.XLOOKUP(A9, CPI!A:A, CPI!B:B, "missing",-1,1)/6.5</f>
        <v>6.1538461538461542E-2</v>
      </c>
      <c r="C9" s="21">
        <f>_xlfn.XLOOKUP(A9, SLCI!A:A, SLCI!B:B, "missing", -1)/6.5</f>
        <v>3.0769230769230771E-2</v>
      </c>
      <c r="D9" s="9">
        <f>_xlfn.XLOOKUP(A9, 'MaxPayPoints Transposed'!A:A, 'MaxPayPoints Transposed'!D:D, "missing", -1)/26</f>
        <v>2405.5</v>
      </c>
      <c r="E9" s="9">
        <f>_xlfn.XLOOKUP(A9, 'MaxPayPoints Transposed'!A:A, 'MaxPayPoints Transposed'!E:E, "missing", -1)/26</f>
        <v>2699.7692307692309</v>
      </c>
      <c r="F9" s="9">
        <f>_xlfn.XLOOKUP(A9, 'MaxPayPoints Transposed'!A:A, 'MaxPayPoints Transposed'!F:F, "missing", -1)/26</f>
        <v>2991.1153846153848</v>
      </c>
      <c r="G9" s="9">
        <f>_xlfn.XLOOKUP(A9, 'MaxPayPoints Transposed'!A:A, 'MaxPayPoints Transposed'!G:G, "missing", -1)/26</f>
        <v>3440.8846153846152</v>
      </c>
      <c r="H9" s="9">
        <f>_xlfn.XLOOKUP(A9, 'MaxPayPoints Transposed'!A:A, 'MaxPayPoints Transposed'!H:H, "missing", -1)/26</f>
        <v>4150.3461538461543</v>
      </c>
      <c r="I9" s="9">
        <f>_xlfn.XLOOKUP(A9, 'MaxPayPoints Transposed'!A:A, 'MaxPayPoints Transposed'!I:I, "missing", -1)/26</f>
        <v>5035.1923076923076</v>
      </c>
      <c r="J9" s="9">
        <f>_xlfn.XLOOKUP(A9, 'MaxPayPoints Transposed'!A:A, 'MaxPayPoints Transposed'!J:J, "missing", -1)/26</f>
        <v>5471.8846153846152</v>
      </c>
    </row>
    <row r="10" spans="1:10" x14ac:dyDescent="0.35">
      <c r="A10" s="7">
        <v>43951</v>
      </c>
      <c r="B10" s="20">
        <f>_xlfn.XLOOKUP(A10, CPI!A:A, CPI!B:B, "missing",-1,1)/6.5</f>
        <v>6.1538461538461542E-2</v>
      </c>
      <c r="C10" s="21">
        <f>_xlfn.XLOOKUP(A10, SLCI!A:A, SLCI!B:B, "missing", -1)/6.5</f>
        <v>3.0769230769230771E-2</v>
      </c>
      <c r="D10" s="9">
        <f>_xlfn.XLOOKUP(A10, 'MaxPayPoints Transposed'!A:A, 'MaxPayPoints Transposed'!D:D, "missing", -1)/26</f>
        <v>2405.5</v>
      </c>
      <c r="E10" s="9">
        <f>_xlfn.XLOOKUP(A10, 'MaxPayPoints Transposed'!A:A, 'MaxPayPoints Transposed'!E:E, "missing", -1)/26</f>
        <v>2699.7692307692309</v>
      </c>
      <c r="F10" s="9">
        <f>_xlfn.XLOOKUP(A10, 'MaxPayPoints Transposed'!A:A, 'MaxPayPoints Transposed'!F:F, "missing", -1)/26</f>
        <v>2991.1153846153848</v>
      </c>
      <c r="G10" s="9">
        <f>_xlfn.XLOOKUP(A10, 'MaxPayPoints Transposed'!A:A, 'MaxPayPoints Transposed'!G:G, "missing", -1)/26</f>
        <v>3440.8846153846152</v>
      </c>
      <c r="H10" s="9">
        <f>_xlfn.XLOOKUP(A10, 'MaxPayPoints Transposed'!A:A, 'MaxPayPoints Transposed'!H:H, "missing", -1)/26</f>
        <v>4150.3461538461543</v>
      </c>
      <c r="I10" s="9">
        <f>_xlfn.XLOOKUP(A10, 'MaxPayPoints Transposed'!A:A, 'MaxPayPoints Transposed'!I:I, "missing", -1)/26</f>
        <v>5035.1923076923076</v>
      </c>
      <c r="J10" s="9">
        <f>_xlfn.XLOOKUP(A10, 'MaxPayPoints Transposed'!A:A, 'MaxPayPoints Transposed'!J:J, "missing", -1)/26</f>
        <v>5471.8846153846152</v>
      </c>
    </row>
    <row r="11" spans="1:10" x14ac:dyDescent="0.35">
      <c r="A11" s="7">
        <v>43965</v>
      </c>
      <c r="B11" s="20">
        <f>_xlfn.XLOOKUP(A11, CPI!A:A, CPI!B:B, "missing",-1,1)/6.5</f>
        <v>6.1538461538461542E-2</v>
      </c>
      <c r="C11" s="21">
        <f>_xlfn.XLOOKUP(A11, SLCI!A:A, SLCI!B:B, "missing", -1)/6.5</f>
        <v>3.0769230769230771E-2</v>
      </c>
      <c r="D11" s="9">
        <f>_xlfn.XLOOKUP(A11, 'MaxPayPoints Transposed'!A:A, 'MaxPayPoints Transposed'!D:D, "missing", -1)/26</f>
        <v>2405.5</v>
      </c>
      <c r="E11" s="9">
        <f>_xlfn.XLOOKUP(A11, 'MaxPayPoints Transposed'!A:A, 'MaxPayPoints Transposed'!E:E, "missing", -1)/26</f>
        <v>2699.7692307692309</v>
      </c>
      <c r="F11" s="9">
        <f>_xlfn.XLOOKUP(A11, 'MaxPayPoints Transposed'!A:A, 'MaxPayPoints Transposed'!F:F, "missing", -1)/26</f>
        <v>2991.1153846153848</v>
      </c>
      <c r="G11" s="9">
        <f>_xlfn.XLOOKUP(A11, 'MaxPayPoints Transposed'!A:A, 'MaxPayPoints Transposed'!G:G, "missing", -1)/26</f>
        <v>3440.8846153846152</v>
      </c>
      <c r="H11" s="9">
        <f>_xlfn.XLOOKUP(A11, 'MaxPayPoints Transposed'!A:A, 'MaxPayPoints Transposed'!H:H, "missing", -1)/26</f>
        <v>4150.3461538461543</v>
      </c>
      <c r="I11" s="9">
        <f>_xlfn.XLOOKUP(A11, 'MaxPayPoints Transposed'!A:A, 'MaxPayPoints Transposed'!I:I, "missing", -1)/26</f>
        <v>5035.1923076923076</v>
      </c>
      <c r="J11" s="9">
        <f>_xlfn.XLOOKUP(A11, 'MaxPayPoints Transposed'!A:A, 'MaxPayPoints Transposed'!J:J, "missing", -1)/26</f>
        <v>5471.8846153846152</v>
      </c>
    </row>
    <row r="12" spans="1:10" x14ac:dyDescent="0.35">
      <c r="A12" s="7">
        <v>43979</v>
      </c>
      <c r="B12" s="20">
        <f>_xlfn.XLOOKUP(A12, CPI!A:A, CPI!B:B, "missing",-1,1)/6.5</f>
        <v>6.1538461538461542E-2</v>
      </c>
      <c r="C12" s="21">
        <f>_xlfn.XLOOKUP(A12, SLCI!A:A, SLCI!B:B, "missing", -1)/6.5</f>
        <v>3.0769230769230771E-2</v>
      </c>
      <c r="D12" s="9">
        <f>_xlfn.XLOOKUP(A12, 'MaxPayPoints Transposed'!A:A, 'MaxPayPoints Transposed'!D:D, "missing", -1)/26</f>
        <v>2405.5</v>
      </c>
      <c r="E12" s="9">
        <f>_xlfn.XLOOKUP(A12, 'MaxPayPoints Transposed'!A:A, 'MaxPayPoints Transposed'!E:E, "missing", -1)/26</f>
        <v>2699.7692307692309</v>
      </c>
      <c r="F12" s="9">
        <f>_xlfn.XLOOKUP(A12, 'MaxPayPoints Transposed'!A:A, 'MaxPayPoints Transposed'!F:F, "missing", -1)/26</f>
        <v>2991.1153846153848</v>
      </c>
      <c r="G12" s="9">
        <f>_xlfn.XLOOKUP(A12, 'MaxPayPoints Transposed'!A:A, 'MaxPayPoints Transposed'!G:G, "missing", -1)/26</f>
        <v>3440.8846153846152</v>
      </c>
      <c r="H12" s="9">
        <f>_xlfn.XLOOKUP(A12, 'MaxPayPoints Transposed'!A:A, 'MaxPayPoints Transposed'!H:H, "missing", -1)/26</f>
        <v>4150.3461538461543</v>
      </c>
      <c r="I12" s="9">
        <f>_xlfn.XLOOKUP(A12, 'MaxPayPoints Transposed'!A:A, 'MaxPayPoints Transposed'!I:I, "missing", -1)/26</f>
        <v>5035.1923076923076</v>
      </c>
      <c r="J12" s="9">
        <f>_xlfn.XLOOKUP(A12, 'MaxPayPoints Transposed'!A:A, 'MaxPayPoints Transposed'!J:J, "missing", -1)/26</f>
        <v>5471.8846153846152</v>
      </c>
    </row>
    <row r="13" spans="1:10" x14ac:dyDescent="0.35">
      <c r="A13" s="7">
        <v>43993</v>
      </c>
      <c r="B13" s="20">
        <f>_xlfn.XLOOKUP(A13, CPI!A:A, CPI!B:B, "missing",-1,1)/6.5</f>
        <v>-0.29230769230769227</v>
      </c>
      <c r="C13" s="21">
        <f>_xlfn.XLOOKUP(A13, SLCI!A:A, SLCI!B:B, "missing", -1)/6.5</f>
        <v>-0.4</v>
      </c>
      <c r="D13" s="9">
        <f>_xlfn.XLOOKUP(A13, 'MaxPayPoints Transposed'!A:A, 'MaxPayPoints Transposed'!D:D, "missing", -1)/26</f>
        <v>2405.5</v>
      </c>
      <c r="E13" s="9">
        <f>_xlfn.XLOOKUP(A13, 'MaxPayPoints Transposed'!A:A, 'MaxPayPoints Transposed'!E:E, "missing", -1)/26</f>
        <v>2699.7692307692309</v>
      </c>
      <c r="F13" s="9">
        <f>_xlfn.XLOOKUP(A13, 'MaxPayPoints Transposed'!A:A, 'MaxPayPoints Transposed'!F:F, "missing", -1)/26</f>
        <v>2991.1153846153848</v>
      </c>
      <c r="G13" s="9">
        <f>_xlfn.XLOOKUP(A13, 'MaxPayPoints Transposed'!A:A, 'MaxPayPoints Transposed'!G:G, "missing", -1)/26</f>
        <v>3440.8846153846152</v>
      </c>
      <c r="H13" s="9">
        <f>_xlfn.XLOOKUP(A13, 'MaxPayPoints Transposed'!A:A, 'MaxPayPoints Transposed'!H:H, "missing", -1)/26</f>
        <v>4150.3461538461543</v>
      </c>
      <c r="I13" s="9">
        <f>_xlfn.XLOOKUP(A13, 'MaxPayPoints Transposed'!A:A, 'MaxPayPoints Transposed'!I:I, "missing", -1)/26</f>
        <v>5035.1923076923076</v>
      </c>
      <c r="J13" s="9">
        <f>_xlfn.XLOOKUP(A13, 'MaxPayPoints Transposed'!A:A, 'MaxPayPoints Transposed'!J:J, "missing", -1)/26</f>
        <v>5471.8846153846152</v>
      </c>
    </row>
    <row r="14" spans="1:10" x14ac:dyDescent="0.35">
      <c r="A14" s="7">
        <v>44007</v>
      </c>
      <c r="B14" s="20">
        <f>_xlfn.XLOOKUP(A14, CPI!A:A, CPI!B:B, "missing",-1,1)/6.5</f>
        <v>-0.29230769230769227</v>
      </c>
      <c r="C14" s="21">
        <f>_xlfn.XLOOKUP(A14, SLCI!A:A, SLCI!B:B, "missing", -1)/6.5</f>
        <v>-0.4</v>
      </c>
      <c r="D14" s="9">
        <f>_xlfn.XLOOKUP(A14, 'MaxPayPoints Transposed'!A:A, 'MaxPayPoints Transposed'!D:D, "missing", -1)/26</f>
        <v>2405.5</v>
      </c>
      <c r="E14" s="9">
        <f>_xlfn.XLOOKUP(A14, 'MaxPayPoints Transposed'!A:A, 'MaxPayPoints Transposed'!E:E, "missing", -1)/26</f>
        <v>2699.7692307692309</v>
      </c>
      <c r="F14" s="9">
        <f>_xlfn.XLOOKUP(A14, 'MaxPayPoints Transposed'!A:A, 'MaxPayPoints Transposed'!F:F, "missing", -1)/26</f>
        <v>2991.1153846153848</v>
      </c>
      <c r="G14" s="9">
        <f>_xlfn.XLOOKUP(A14, 'MaxPayPoints Transposed'!A:A, 'MaxPayPoints Transposed'!G:G, "missing", -1)/26</f>
        <v>3440.8846153846152</v>
      </c>
      <c r="H14" s="9">
        <f>_xlfn.XLOOKUP(A14, 'MaxPayPoints Transposed'!A:A, 'MaxPayPoints Transposed'!H:H, "missing", -1)/26</f>
        <v>4150.3461538461543</v>
      </c>
      <c r="I14" s="9">
        <f>_xlfn.XLOOKUP(A14, 'MaxPayPoints Transposed'!A:A, 'MaxPayPoints Transposed'!I:I, "missing", -1)/26</f>
        <v>5035.1923076923076</v>
      </c>
      <c r="J14" s="9">
        <f>_xlfn.XLOOKUP(A14, 'MaxPayPoints Transposed'!A:A, 'MaxPayPoints Transposed'!J:J, "missing", -1)/26</f>
        <v>5471.8846153846152</v>
      </c>
    </row>
    <row r="15" spans="1:10" x14ac:dyDescent="0.35">
      <c r="A15" s="7">
        <v>44021</v>
      </c>
      <c r="B15" s="20">
        <f>_xlfn.XLOOKUP(A15, CPI!A:A, CPI!B:B, "missing",-1,1)/6.5</f>
        <v>-0.29230769230769227</v>
      </c>
      <c r="C15" s="21">
        <f>_xlfn.XLOOKUP(A15, SLCI!A:A, SLCI!B:B, "missing", -1)/6.5</f>
        <v>-0.4</v>
      </c>
      <c r="D15" s="9">
        <f>_xlfn.XLOOKUP(A15, 'MaxPayPoints Transposed'!A:A, 'MaxPayPoints Transposed'!D:D, "missing", -1)/26</f>
        <v>2405.5</v>
      </c>
      <c r="E15" s="9">
        <f>_xlfn.XLOOKUP(A15, 'MaxPayPoints Transposed'!A:A, 'MaxPayPoints Transposed'!E:E, "missing", -1)/26</f>
        <v>2699.7692307692309</v>
      </c>
      <c r="F15" s="9">
        <f>_xlfn.XLOOKUP(A15, 'MaxPayPoints Transposed'!A:A, 'MaxPayPoints Transposed'!F:F, "missing", -1)/26</f>
        <v>2991.1153846153848</v>
      </c>
      <c r="G15" s="9">
        <f>_xlfn.XLOOKUP(A15, 'MaxPayPoints Transposed'!A:A, 'MaxPayPoints Transposed'!G:G, "missing", -1)/26</f>
        <v>3440.8846153846152</v>
      </c>
      <c r="H15" s="9">
        <f>_xlfn.XLOOKUP(A15, 'MaxPayPoints Transposed'!A:A, 'MaxPayPoints Transposed'!H:H, "missing", -1)/26</f>
        <v>4150.3461538461543</v>
      </c>
      <c r="I15" s="9">
        <f>_xlfn.XLOOKUP(A15, 'MaxPayPoints Transposed'!A:A, 'MaxPayPoints Transposed'!I:I, "missing", -1)/26</f>
        <v>5035.1923076923076</v>
      </c>
      <c r="J15" s="9">
        <f>_xlfn.XLOOKUP(A15, 'MaxPayPoints Transposed'!A:A, 'MaxPayPoints Transposed'!J:J, "missing", -1)/26</f>
        <v>5471.8846153846152</v>
      </c>
    </row>
    <row r="16" spans="1:10" x14ac:dyDescent="0.35">
      <c r="A16" s="7">
        <v>44035</v>
      </c>
      <c r="B16" s="20">
        <f>_xlfn.XLOOKUP(A16, CPI!A:A, CPI!B:B, "missing",-1,1)/6.5</f>
        <v>-0.29230769230769227</v>
      </c>
      <c r="C16" s="21">
        <f>_xlfn.XLOOKUP(A16, SLCI!A:A, SLCI!B:B, "missing", -1)/6.5</f>
        <v>-0.4</v>
      </c>
      <c r="D16" s="9">
        <f>_xlfn.XLOOKUP(A16, 'MaxPayPoints Transposed'!A:A, 'MaxPayPoints Transposed'!D:D, "missing", -1)/26</f>
        <v>2405.5</v>
      </c>
      <c r="E16" s="9">
        <f>_xlfn.XLOOKUP(A16, 'MaxPayPoints Transposed'!A:A, 'MaxPayPoints Transposed'!E:E, "missing", -1)/26</f>
        <v>2699.7692307692309</v>
      </c>
      <c r="F16" s="9">
        <f>_xlfn.XLOOKUP(A16, 'MaxPayPoints Transposed'!A:A, 'MaxPayPoints Transposed'!F:F, "missing", -1)/26</f>
        <v>2991.1153846153848</v>
      </c>
      <c r="G16" s="9">
        <f>_xlfn.XLOOKUP(A16, 'MaxPayPoints Transposed'!A:A, 'MaxPayPoints Transposed'!G:G, "missing", -1)/26</f>
        <v>3440.8846153846152</v>
      </c>
      <c r="H16" s="9">
        <f>_xlfn.XLOOKUP(A16, 'MaxPayPoints Transposed'!A:A, 'MaxPayPoints Transposed'!H:H, "missing", -1)/26</f>
        <v>4150.3461538461543</v>
      </c>
      <c r="I16" s="9">
        <f>_xlfn.XLOOKUP(A16, 'MaxPayPoints Transposed'!A:A, 'MaxPayPoints Transposed'!I:I, "missing", -1)/26</f>
        <v>5035.1923076923076</v>
      </c>
      <c r="J16" s="9">
        <f>_xlfn.XLOOKUP(A16, 'MaxPayPoints Transposed'!A:A, 'MaxPayPoints Transposed'!J:J, "missing", -1)/26</f>
        <v>5471.8846153846152</v>
      </c>
    </row>
    <row r="17" spans="1:10" x14ac:dyDescent="0.35">
      <c r="A17" s="7">
        <v>44049</v>
      </c>
      <c r="B17" s="20">
        <f>_xlfn.XLOOKUP(A17, CPI!A:A, CPI!B:B, "missing",-1,1)/6.5</f>
        <v>-0.29230769230769227</v>
      </c>
      <c r="C17" s="21">
        <f>_xlfn.XLOOKUP(A17, SLCI!A:A, SLCI!B:B, "missing", -1)/6.5</f>
        <v>-0.4</v>
      </c>
      <c r="D17" s="9">
        <f>_xlfn.XLOOKUP(A17, 'MaxPayPoints Transposed'!A:A, 'MaxPayPoints Transposed'!D:D, "missing", -1)/26</f>
        <v>2405.5</v>
      </c>
      <c r="E17" s="9">
        <f>_xlfn.XLOOKUP(A17, 'MaxPayPoints Transposed'!A:A, 'MaxPayPoints Transposed'!E:E, "missing", -1)/26</f>
        <v>2699.7692307692309</v>
      </c>
      <c r="F17" s="9">
        <f>_xlfn.XLOOKUP(A17, 'MaxPayPoints Transposed'!A:A, 'MaxPayPoints Transposed'!F:F, "missing", -1)/26</f>
        <v>2991.1153846153848</v>
      </c>
      <c r="G17" s="9">
        <f>_xlfn.XLOOKUP(A17, 'MaxPayPoints Transposed'!A:A, 'MaxPayPoints Transposed'!G:G, "missing", -1)/26</f>
        <v>3440.8846153846152</v>
      </c>
      <c r="H17" s="9">
        <f>_xlfn.XLOOKUP(A17, 'MaxPayPoints Transposed'!A:A, 'MaxPayPoints Transposed'!H:H, "missing", -1)/26</f>
        <v>4150.3461538461543</v>
      </c>
      <c r="I17" s="9">
        <f>_xlfn.XLOOKUP(A17, 'MaxPayPoints Transposed'!A:A, 'MaxPayPoints Transposed'!I:I, "missing", -1)/26</f>
        <v>5035.1923076923076</v>
      </c>
      <c r="J17" s="9">
        <f>_xlfn.XLOOKUP(A17, 'MaxPayPoints Transposed'!A:A, 'MaxPayPoints Transposed'!J:J, "missing", -1)/26</f>
        <v>5471.8846153846152</v>
      </c>
    </row>
    <row r="18" spans="1:10" x14ac:dyDescent="0.35">
      <c r="A18" s="7">
        <v>44063</v>
      </c>
      <c r="B18" s="20">
        <f>_xlfn.XLOOKUP(A18, CPI!A:A, CPI!B:B, "missing",-1,1)/6.5</f>
        <v>-0.29230769230769227</v>
      </c>
      <c r="C18" s="21">
        <f>_xlfn.XLOOKUP(A18, SLCI!A:A, SLCI!B:B, "missing", -1)/6.5</f>
        <v>-0.4</v>
      </c>
      <c r="D18" s="9">
        <f>_xlfn.XLOOKUP(A18, 'MaxPayPoints Transposed'!A:A, 'MaxPayPoints Transposed'!D:D, "missing", -1)/26</f>
        <v>2405.5</v>
      </c>
      <c r="E18" s="9">
        <f>_xlfn.XLOOKUP(A18, 'MaxPayPoints Transposed'!A:A, 'MaxPayPoints Transposed'!E:E, "missing", -1)/26</f>
        <v>2699.7692307692309</v>
      </c>
      <c r="F18" s="9">
        <f>_xlfn.XLOOKUP(A18, 'MaxPayPoints Transposed'!A:A, 'MaxPayPoints Transposed'!F:F, "missing", -1)/26</f>
        <v>2991.1153846153848</v>
      </c>
      <c r="G18" s="9">
        <f>_xlfn.XLOOKUP(A18, 'MaxPayPoints Transposed'!A:A, 'MaxPayPoints Transposed'!G:G, "missing", -1)/26</f>
        <v>3440.8846153846152</v>
      </c>
      <c r="H18" s="9">
        <f>_xlfn.XLOOKUP(A18, 'MaxPayPoints Transposed'!A:A, 'MaxPayPoints Transposed'!H:H, "missing", -1)/26</f>
        <v>4150.3461538461543</v>
      </c>
      <c r="I18" s="9">
        <f>_xlfn.XLOOKUP(A18, 'MaxPayPoints Transposed'!A:A, 'MaxPayPoints Transposed'!I:I, "missing", -1)/26</f>
        <v>5035.1923076923076</v>
      </c>
      <c r="J18" s="9">
        <f>_xlfn.XLOOKUP(A18, 'MaxPayPoints Transposed'!A:A, 'MaxPayPoints Transposed'!J:J, "missing", -1)/26</f>
        <v>5471.8846153846152</v>
      </c>
    </row>
    <row r="19" spans="1:10" x14ac:dyDescent="0.35">
      <c r="A19" s="7">
        <v>44077</v>
      </c>
      <c r="B19" s="20">
        <f>_xlfn.XLOOKUP(A19, CPI!A:A, CPI!B:B, "missing",-1,1)/6.5</f>
        <v>0.23076923076923078</v>
      </c>
      <c r="C19" s="21">
        <f>_xlfn.XLOOKUP(A19, SLCI!A:A, SLCI!B:B, "missing", -1)/6.5</f>
        <v>0.2</v>
      </c>
      <c r="D19" s="9">
        <f>_xlfn.XLOOKUP(A19, 'MaxPayPoints Transposed'!A:A, 'MaxPayPoints Transposed'!D:D, "missing", -1)/26</f>
        <v>2405.5</v>
      </c>
      <c r="E19" s="9">
        <f>_xlfn.XLOOKUP(A19, 'MaxPayPoints Transposed'!A:A, 'MaxPayPoints Transposed'!E:E, "missing", -1)/26</f>
        <v>2699.7692307692309</v>
      </c>
      <c r="F19" s="9">
        <f>_xlfn.XLOOKUP(A19, 'MaxPayPoints Transposed'!A:A, 'MaxPayPoints Transposed'!F:F, "missing", -1)/26</f>
        <v>2991.1153846153848</v>
      </c>
      <c r="G19" s="9">
        <f>_xlfn.XLOOKUP(A19, 'MaxPayPoints Transposed'!A:A, 'MaxPayPoints Transposed'!G:G, "missing", -1)/26</f>
        <v>3440.8846153846152</v>
      </c>
      <c r="H19" s="9">
        <f>_xlfn.XLOOKUP(A19, 'MaxPayPoints Transposed'!A:A, 'MaxPayPoints Transposed'!H:H, "missing", -1)/26</f>
        <v>4150.3461538461543</v>
      </c>
      <c r="I19" s="9">
        <f>_xlfn.XLOOKUP(A19, 'MaxPayPoints Transposed'!A:A, 'MaxPayPoints Transposed'!I:I, "missing", -1)/26</f>
        <v>5035.1923076923076</v>
      </c>
      <c r="J19" s="9">
        <f>_xlfn.XLOOKUP(A19, 'MaxPayPoints Transposed'!A:A, 'MaxPayPoints Transposed'!J:J, "missing", -1)/26</f>
        <v>5471.8846153846152</v>
      </c>
    </row>
    <row r="20" spans="1:10" x14ac:dyDescent="0.35">
      <c r="A20" s="7">
        <v>44091</v>
      </c>
      <c r="B20" s="20">
        <f>_xlfn.XLOOKUP(A20, CPI!A:A, CPI!B:B, "missing",-1,1)/6.5</f>
        <v>0.23076923076923078</v>
      </c>
      <c r="C20" s="21">
        <f>_xlfn.XLOOKUP(A20, SLCI!A:A, SLCI!B:B, "missing", -1)/6.5</f>
        <v>0.2</v>
      </c>
      <c r="D20" s="9">
        <f>_xlfn.XLOOKUP(A20, 'MaxPayPoints Transposed'!A:A, 'MaxPayPoints Transposed'!D:D, "missing", -1)/26</f>
        <v>2441.5769230769229</v>
      </c>
      <c r="E20" s="9">
        <f>_xlfn.XLOOKUP(A20, 'MaxPayPoints Transposed'!A:A, 'MaxPayPoints Transposed'!E:E, "missing", -1)/26</f>
        <v>2740.2692307692309</v>
      </c>
      <c r="F20" s="9">
        <f>_xlfn.XLOOKUP(A20, 'MaxPayPoints Transposed'!A:A, 'MaxPayPoints Transposed'!F:F, "missing", -1)/26</f>
        <v>3036</v>
      </c>
      <c r="G20" s="9">
        <f>_xlfn.XLOOKUP(A20, 'MaxPayPoints Transposed'!A:A, 'MaxPayPoints Transposed'!G:G, "missing", -1)/26</f>
        <v>3492.5</v>
      </c>
      <c r="H20" s="9">
        <f>_xlfn.XLOOKUP(A20, 'MaxPayPoints Transposed'!A:A, 'MaxPayPoints Transposed'!H:H, "missing", -1)/26</f>
        <v>4212.6153846153848</v>
      </c>
      <c r="I20" s="9">
        <f>_xlfn.XLOOKUP(A20, 'MaxPayPoints Transposed'!A:A, 'MaxPayPoints Transposed'!I:I, "missing", -1)/26</f>
        <v>5110.7307692307695</v>
      </c>
      <c r="J20" s="9">
        <f>_xlfn.XLOOKUP(A20, 'MaxPayPoints Transposed'!A:A, 'MaxPayPoints Transposed'!J:J, "missing", -1)/26</f>
        <v>5553.9615384615381</v>
      </c>
    </row>
    <row r="21" spans="1:10" x14ac:dyDescent="0.35">
      <c r="A21" s="7">
        <v>44105</v>
      </c>
      <c r="B21" s="20">
        <f>_xlfn.XLOOKUP(A21, CPI!A:A, CPI!B:B, "missing",-1,1)/6.5</f>
        <v>0.23076923076923078</v>
      </c>
      <c r="C21" s="21">
        <f>_xlfn.XLOOKUP(A21, SLCI!A:A, SLCI!B:B, "missing", -1)/6.5</f>
        <v>0.2</v>
      </c>
      <c r="D21" s="9">
        <f>_xlfn.XLOOKUP(A21, 'MaxPayPoints Transposed'!A:A, 'MaxPayPoints Transposed'!D:D, "missing", -1)/26</f>
        <v>2441.5769230769229</v>
      </c>
      <c r="E21" s="9">
        <f>_xlfn.XLOOKUP(A21, 'MaxPayPoints Transposed'!A:A, 'MaxPayPoints Transposed'!E:E, "missing", -1)/26</f>
        <v>2740.2692307692309</v>
      </c>
      <c r="F21" s="9">
        <f>_xlfn.XLOOKUP(A21, 'MaxPayPoints Transposed'!A:A, 'MaxPayPoints Transposed'!F:F, "missing", -1)/26</f>
        <v>3036</v>
      </c>
      <c r="G21" s="9">
        <f>_xlfn.XLOOKUP(A21, 'MaxPayPoints Transposed'!A:A, 'MaxPayPoints Transposed'!G:G, "missing", -1)/26</f>
        <v>3492.5</v>
      </c>
      <c r="H21" s="9">
        <f>_xlfn.XLOOKUP(A21, 'MaxPayPoints Transposed'!A:A, 'MaxPayPoints Transposed'!H:H, "missing", -1)/26</f>
        <v>4212.6153846153848</v>
      </c>
      <c r="I21" s="9">
        <f>_xlfn.XLOOKUP(A21, 'MaxPayPoints Transposed'!A:A, 'MaxPayPoints Transposed'!I:I, "missing", -1)/26</f>
        <v>5110.7307692307695</v>
      </c>
      <c r="J21" s="9">
        <f>_xlfn.XLOOKUP(A21, 'MaxPayPoints Transposed'!A:A, 'MaxPayPoints Transposed'!J:J, "missing", -1)/26</f>
        <v>5553.9615384615381</v>
      </c>
    </row>
    <row r="22" spans="1:10" x14ac:dyDescent="0.35">
      <c r="A22" s="7">
        <v>44119</v>
      </c>
      <c r="B22" s="20">
        <f>_xlfn.XLOOKUP(A22, CPI!A:A, CPI!B:B, "missing",-1,1)/6.5</f>
        <v>0.23076923076923078</v>
      </c>
      <c r="C22" s="21">
        <f>_xlfn.XLOOKUP(A22, SLCI!A:A, SLCI!B:B, "missing", -1)/6.5</f>
        <v>0.2</v>
      </c>
      <c r="D22" s="9">
        <f>_xlfn.XLOOKUP(A22, 'MaxPayPoints Transposed'!A:A, 'MaxPayPoints Transposed'!D:D, "missing", -1)/26</f>
        <v>2441.5769230769229</v>
      </c>
      <c r="E22" s="9">
        <f>_xlfn.XLOOKUP(A22, 'MaxPayPoints Transposed'!A:A, 'MaxPayPoints Transposed'!E:E, "missing", -1)/26</f>
        <v>2740.2692307692309</v>
      </c>
      <c r="F22" s="9">
        <f>_xlfn.XLOOKUP(A22, 'MaxPayPoints Transposed'!A:A, 'MaxPayPoints Transposed'!F:F, "missing", -1)/26</f>
        <v>3036</v>
      </c>
      <c r="G22" s="9">
        <f>_xlfn.XLOOKUP(A22, 'MaxPayPoints Transposed'!A:A, 'MaxPayPoints Transposed'!G:G, "missing", -1)/26</f>
        <v>3492.5</v>
      </c>
      <c r="H22" s="9">
        <f>_xlfn.XLOOKUP(A22, 'MaxPayPoints Transposed'!A:A, 'MaxPayPoints Transposed'!H:H, "missing", -1)/26</f>
        <v>4212.6153846153848</v>
      </c>
      <c r="I22" s="9">
        <f>_xlfn.XLOOKUP(A22, 'MaxPayPoints Transposed'!A:A, 'MaxPayPoints Transposed'!I:I, "missing", -1)/26</f>
        <v>5110.7307692307695</v>
      </c>
      <c r="J22" s="9">
        <f>_xlfn.XLOOKUP(A22, 'MaxPayPoints Transposed'!A:A, 'MaxPayPoints Transposed'!J:J, "missing", -1)/26</f>
        <v>5553.9615384615381</v>
      </c>
    </row>
    <row r="23" spans="1:10" x14ac:dyDescent="0.35">
      <c r="A23" s="7">
        <v>44133</v>
      </c>
      <c r="B23" s="20">
        <f>_xlfn.XLOOKUP(A23, CPI!A:A, CPI!B:B, "missing",-1,1)/6.5</f>
        <v>0.23076923076923078</v>
      </c>
      <c r="C23" s="21">
        <f>_xlfn.XLOOKUP(A23, SLCI!A:A, SLCI!B:B, "missing", -1)/6.5</f>
        <v>0.2</v>
      </c>
      <c r="D23" s="9">
        <f>_xlfn.XLOOKUP(A23, 'MaxPayPoints Transposed'!A:A, 'MaxPayPoints Transposed'!D:D, "missing", -1)/26</f>
        <v>2441.5769230769229</v>
      </c>
      <c r="E23" s="9">
        <f>_xlfn.XLOOKUP(A23, 'MaxPayPoints Transposed'!A:A, 'MaxPayPoints Transposed'!E:E, "missing", -1)/26</f>
        <v>2740.2692307692309</v>
      </c>
      <c r="F23" s="9">
        <f>_xlfn.XLOOKUP(A23, 'MaxPayPoints Transposed'!A:A, 'MaxPayPoints Transposed'!F:F, "missing", -1)/26</f>
        <v>3036</v>
      </c>
      <c r="G23" s="9">
        <f>_xlfn.XLOOKUP(A23, 'MaxPayPoints Transposed'!A:A, 'MaxPayPoints Transposed'!G:G, "missing", -1)/26</f>
        <v>3492.5</v>
      </c>
      <c r="H23" s="9">
        <f>_xlfn.XLOOKUP(A23, 'MaxPayPoints Transposed'!A:A, 'MaxPayPoints Transposed'!H:H, "missing", -1)/26</f>
        <v>4212.6153846153848</v>
      </c>
      <c r="I23" s="9">
        <f>_xlfn.XLOOKUP(A23, 'MaxPayPoints Transposed'!A:A, 'MaxPayPoints Transposed'!I:I, "missing", -1)/26</f>
        <v>5110.7307692307695</v>
      </c>
      <c r="J23" s="9">
        <f>_xlfn.XLOOKUP(A23, 'MaxPayPoints Transposed'!A:A, 'MaxPayPoints Transposed'!J:J, "missing", -1)/26</f>
        <v>5553.9615384615381</v>
      </c>
    </row>
    <row r="24" spans="1:10" x14ac:dyDescent="0.35">
      <c r="A24" s="7">
        <v>44147</v>
      </c>
      <c r="B24" s="20">
        <f>_xlfn.XLOOKUP(A24, CPI!A:A, CPI!B:B, "missing",-1,1)/6.5</f>
        <v>0.23076923076923078</v>
      </c>
      <c r="C24" s="21">
        <f>_xlfn.XLOOKUP(A24, SLCI!A:A, SLCI!B:B, "missing", -1)/6.5</f>
        <v>0.2</v>
      </c>
      <c r="D24" s="9">
        <f>_xlfn.XLOOKUP(A24, 'MaxPayPoints Transposed'!A:A, 'MaxPayPoints Transposed'!D:D, "missing", -1)/26</f>
        <v>2441.5769230769229</v>
      </c>
      <c r="E24" s="9">
        <f>_xlfn.XLOOKUP(A24, 'MaxPayPoints Transposed'!A:A, 'MaxPayPoints Transposed'!E:E, "missing", -1)/26</f>
        <v>2740.2692307692309</v>
      </c>
      <c r="F24" s="9">
        <f>_xlfn.XLOOKUP(A24, 'MaxPayPoints Transposed'!A:A, 'MaxPayPoints Transposed'!F:F, "missing", -1)/26</f>
        <v>3036</v>
      </c>
      <c r="G24" s="9">
        <f>_xlfn.XLOOKUP(A24, 'MaxPayPoints Transposed'!A:A, 'MaxPayPoints Transposed'!G:G, "missing", -1)/26</f>
        <v>3492.5</v>
      </c>
      <c r="H24" s="9">
        <f>_xlfn.XLOOKUP(A24, 'MaxPayPoints Transposed'!A:A, 'MaxPayPoints Transposed'!H:H, "missing", -1)/26</f>
        <v>4212.6153846153848</v>
      </c>
      <c r="I24" s="9">
        <f>_xlfn.XLOOKUP(A24, 'MaxPayPoints Transposed'!A:A, 'MaxPayPoints Transposed'!I:I, "missing", -1)/26</f>
        <v>5110.7307692307695</v>
      </c>
      <c r="J24" s="9">
        <f>_xlfn.XLOOKUP(A24, 'MaxPayPoints Transposed'!A:A, 'MaxPayPoints Transposed'!J:J, "missing", -1)/26</f>
        <v>5553.9615384615381</v>
      </c>
    </row>
    <row r="25" spans="1:10" x14ac:dyDescent="0.35">
      <c r="A25" s="7">
        <v>44161</v>
      </c>
      <c r="B25" s="20">
        <f>_xlfn.XLOOKUP(A25, CPI!A:A, CPI!B:B, "missing",-1,1)/6.5</f>
        <v>0.23076923076923078</v>
      </c>
      <c r="C25" s="21">
        <f>_xlfn.XLOOKUP(A25, SLCI!A:A, SLCI!B:B, "missing", -1)/6.5</f>
        <v>0.2</v>
      </c>
      <c r="D25" s="9">
        <f>_xlfn.XLOOKUP(A25, 'MaxPayPoints Transposed'!A:A, 'MaxPayPoints Transposed'!D:D, "missing", -1)/26</f>
        <v>2441.5769230769229</v>
      </c>
      <c r="E25" s="9">
        <f>_xlfn.XLOOKUP(A25, 'MaxPayPoints Transposed'!A:A, 'MaxPayPoints Transposed'!E:E, "missing", -1)/26</f>
        <v>2740.2692307692309</v>
      </c>
      <c r="F25" s="9">
        <f>_xlfn.XLOOKUP(A25, 'MaxPayPoints Transposed'!A:A, 'MaxPayPoints Transposed'!F:F, "missing", -1)/26</f>
        <v>3036</v>
      </c>
      <c r="G25" s="9">
        <f>_xlfn.XLOOKUP(A25, 'MaxPayPoints Transposed'!A:A, 'MaxPayPoints Transposed'!G:G, "missing", -1)/26</f>
        <v>3492.5</v>
      </c>
      <c r="H25" s="9">
        <f>_xlfn.XLOOKUP(A25, 'MaxPayPoints Transposed'!A:A, 'MaxPayPoints Transposed'!H:H, "missing", -1)/26</f>
        <v>4212.6153846153848</v>
      </c>
      <c r="I25" s="9">
        <f>_xlfn.XLOOKUP(A25, 'MaxPayPoints Transposed'!A:A, 'MaxPayPoints Transposed'!I:I, "missing", -1)/26</f>
        <v>5110.7307692307695</v>
      </c>
      <c r="J25" s="9">
        <f>_xlfn.XLOOKUP(A25, 'MaxPayPoints Transposed'!A:A, 'MaxPayPoints Transposed'!J:J, "missing", -1)/26</f>
        <v>5553.9615384615381</v>
      </c>
    </row>
    <row r="26" spans="1:10" x14ac:dyDescent="0.35">
      <c r="A26" s="7">
        <v>44175</v>
      </c>
      <c r="B26" s="20">
        <f>_xlfn.XLOOKUP(A26, CPI!A:A, CPI!B:B, "missing",-1,1)/6.5</f>
        <v>0.13846153846153847</v>
      </c>
      <c r="C26" s="21">
        <f>_xlfn.XLOOKUP(A26, SLCI!A:A, SLCI!B:B, "missing", -1)/6.5</f>
        <v>0.13846153846153847</v>
      </c>
      <c r="D26" s="9">
        <f>_xlfn.XLOOKUP(A26, 'MaxPayPoints Transposed'!A:A, 'MaxPayPoints Transposed'!D:D, "missing", -1)/26</f>
        <v>2441.5769230769229</v>
      </c>
      <c r="E26" s="9">
        <f>_xlfn.XLOOKUP(A26, 'MaxPayPoints Transposed'!A:A, 'MaxPayPoints Transposed'!E:E, "missing", -1)/26</f>
        <v>2740.2692307692309</v>
      </c>
      <c r="F26" s="9">
        <f>_xlfn.XLOOKUP(A26, 'MaxPayPoints Transposed'!A:A, 'MaxPayPoints Transposed'!F:F, "missing", -1)/26</f>
        <v>3036</v>
      </c>
      <c r="G26" s="9">
        <f>_xlfn.XLOOKUP(A26, 'MaxPayPoints Transposed'!A:A, 'MaxPayPoints Transposed'!G:G, "missing", -1)/26</f>
        <v>3492.5</v>
      </c>
      <c r="H26" s="9">
        <f>_xlfn.XLOOKUP(A26, 'MaxPayPoints Transposed'!A:A, 'MaxPayPoints Transposed'!H:H, "missing", -1)/26</f>
        <v>4212.6153846153848</v>
      </c>
      <c r="I26" s="9">
        <f>_xlfn.XLOOKUP(A26, 'MaxPayPoints Transposed'!A:A, 'MaxPayPoints Transposed'!I:I, "missing", -1)/26</f>
        <v>5110.7307692307695</v>
      </c>
      <c r="J26" s="9">
        <f>_xlfn.XLOOKUP(A26, 'MaxPayPoints Transposed'!A:A, 'MaxPayPoints Transposed'!J:J, "missing", -1)/26</f>
        <v>5553.9615384615381</v>
      </c>
    </row>
    <row r="27" spans="1:10" x14ac:dyDescent="0.35">
      <c r="A27" s="7">
        <v>44189</v>
      </c>
      <c r="B27" s="20">
        <f>_xlfn.XLOOKUP(A27, CPI!A:A, CPI!B:B, "missing",-1,1)/6.5</f>
        <v>0.13846153846153847</v>
      </c>
      <c r="C27" s="21">
        <f>_xlfn.XLOOKUP(A27, SLCI!A:A, SLCI!B:B, "missing", -1)/6.5</f>
        <v>0.13846153846153847</v>
      </c>
      <c r="D27" s="9">
        <f>_xlfn.XLOOKUP(A27, 'MaxPayPoints Transposed'!A:A, 'MaxPayPoints Transposed'!D:D, "missing", -1)/26</f>
        <v>2441.5769230769229</v>
      </c>
      <c r="E27" s="9">
        <f>_xlfn.XLOOKUP(A27, 'MaxPayPoints Transposed'!A:A, 'MaxPayPoints Transposed'!E:E, "missing", -1)/26</f>
        <v>2740.2692307692309</v>
      </c>
      <c r="F27" s="9">
        <f>_xlfn.XLOOKUP(A27, 'MaxPayPoints Transposed'!A:A, 'MaxPayPoints Transposed'!F:F, "missing", -1)/26</f>
        <v>3036</v>
      </c>
      <c r="G27" s="9">
        <f>_xlfn.XLOOKUP(A27, 'MaxPayPoints Transposed'!A:A, 'MaxPayPoints Transposed'!G:G, "missing", -1)/26</f>
        <v>3492.5</v>
      </c>
      <c r="H27" s="9">
        <f>_xlfn.XLOOKUP(A27, 'MaxPayPoints Transposed'!A:A, 'MaxPayPoints Transposed'!H:H, "missing", -1)/26</f>
        <v>4212.6153846153848</v>
      </c>
      <c r="I27" s="9">
        <f>_xlfn.XLOOKUP(A27, 'MaxPayPoints Transposed'!A:A, 'MaxPayPoints Transposed'!I:I, "missing", -1)/26</f>
        <v>5110.7307692307695</v>
      </c>
      <c r="J27" s="9">
        <f>_xlfn.XLOOKUP(A27, 'MaxPayPoints Transposed'!A:A, 'MaxPayPoints Transposed'!J:J, "missing", -1)/26</f>
        <v>5553.9615384615381</v>
      </c>
    </row>
    <row r="28" spans="1:10" x14ac:dyDescent="0.35">
      <c r="A28" s="7">
        <v>44203</v>
      </c>
      <c r="B28" s="20">
        <f>_xlfn.XLOOKUP(A28, CPI!A:A, CPI!B:B, "missing",-1,1)/6.5</f>
        <v>0.13846153846153847</v>
      </c>
      <c r="C28" s="21">
        <f>_xlfn.XLOOKUP(A28, SLCI!A:A, SLCI!B:B, "missing", -1)/6.5</f>
        <v>0.13846153846153847</v>
      </c>
      <c r="D28" s="9">
        <f>_xlfn.XLOOKUP(A28, 'MaxPayPoints Transposed'!A:A, 'MaxPayPoints Transposed'!D:D, "missing", -1)/26</f>
        <v>2441.5769230769229</v>
      </c>
      <c r="E28" s="9">
        <f>_xlfn.XLOOKUP(A28, 'MaxPayPoints Transposed'!A:A, 'MaxPayPoints Transposed'!E:E, "missing", -1)/26</f>
        <v>2740.2692307692309</v>
      </c>
      <c r="F28" s="9">
        <f>_xlfn.XLOOKUP(A28, 'MaxPayPoints Transposed'!A:A, 'MaxPayPoints Transposed'!F:F, "missing", -1)/26</f>
        <v>3036</v>
      </c>
      <c r="G28" s="9">
        <f>_xlfn.XLOOKUP(A28, 'MaxPayPoints Transposed'!A:A, 'MaxPayPoints Transposed'!G:G, "missing", -1)/26</f>
        <v>3492.5</v>
      </c>
      <c r="H28" s="9">
        <f>_xlfn.XLOOKUP(A28, 'MaxPayPoints Transposed'!A:A, 'MaxPayPoints Transposed'!H:H, "missing", -1)/26</f>
        <v>4212.6153846153848</v>
      </c>
      <c r="I28" s="9">
        <f>_xlfn.XLOOKUP(A28, 'MaxPayPoints Transposed'!A:A, 'MaxPayPoints Transposed'!I:I, "missing", -1)/26</f>
        <v>5110.7307692307695</v>
      </c>
      <c r="J28" s="9">
        <f>_xlfn.XLOOKUP(A28, 'MaxPayPoints Transposed'!A:A, 'MaxPayPoints Transposed'!J:J, "missing", -1)/26</f>
        <v>5553.9615384615381</v>
      </c>
    </row>
    <row r="29" spans="1:10" x14ac:dyDescent="0.35">
      <c r="A29" s="7">
        <v>44217</v>
      </c>
      <c r="B29" s="20">
        <f>_xlfn.XLOOKUP(A29, CPI!A:A, CPI!B:B, "missing",-1,1)/6.5</f>
        <v>0.13846153846153847</v>
      </c>
      <c r="C29" s="21">
        <f>_xlfn.XLOOKUP(A29, SLCI!A:A, SLCI!B:B, "missing", -1)/6.5</f>
        <v>0.13846153846153847</v>
      </c>
      <c r="D29" s="9">
        <f>_xlfn.XLOOKUP(A29, 'MaxPayPoints Transposed'!A:A, 'MaxPayPoints Transposed'!D:D, "missing", -1)/26</f>
        <v>2441.5769230769229</v>
      </c>
      <c r="E29" s="9">
        <f>_xlfn.XLOOKUP(A29, 'MaxPayPoints Transposed'!A:A, 'MaxPayPoints Transposed'!E:E, "missing", -1)/26</f>
        <v>2740.2692307692309</v>
      </c>
      <c r="F29" s="9">
        <f>_xlfn.XLOOKUP(A29, 'MaxPayPoints Transposed'!A:A, 'MaxPayPoints Transposed'!F:F, "missing", -1)/26</f>
        <v>3036</v>
      </c>
      <c r="G29" s="9">
        <f>_xlfn.XLOOKUP(A29, 'MaxPayPoints Transposed'!A:A, 'MaxPayPoints Transposed'!G:G, "missing", -1)/26</f>
        <v>3492.5</v>
      </c>
      <c r="H29" s="9">
        <f>_xlfn.XLOOKUP(A29, 'MaxPayPoints Transposed'!A:A, 'MaxPayPoints Transposed'!H:H, "missing", -1)/26</f>
        <v>4212.6153846153848</v>
      </c>
      <c r="I29" s="9">
        <f>_xlfn.XLOOKUP(A29, 'MaxPayPoints Transposed'!A:A, 'MaxPayPoints Transposed'!I:I, "missing", -1)/26</f>
        <v>5110.7307692307695</v>
      </c>
      <c r="J29" s="9">
        <f>_xlfn.XLOOKUP(A29, 'MaxPayPoints Transposed'!A:A, 'MaxPayPoints Transposed'!J:J, "missing", -1)/26</f>
        <v>5553.9615384615381</v>
      </c>
    </row>
    <row r="30" spans="1:10" x14ac:dyDescent="0.35">
      <c r="A30" s="7">
        <v>44231</v>
      </c>
      <c r="B30" s="20">
        <f>_xlfn.XLOOKUP(A30, CPI!A:A, CPI!B:B, "missing",-1,1)/6.5</f>
        <v>0.13846153846153847</v>
      </c>
      <c r="C30" s="21">
        <f>_xlfn.XLOOKUP(A30, SLCI!A:A, SLCI!B:B, "missing", -1)/6.5</f>
        <v>0.13846153846153847</v>
      </c>
      <c r="D30" s="9">
        <f>_xlfn.XLOOKUP(A30, 'MaxPayPoints Transposed'!A:A, 'MaxPayPoints Transposed'!D:D, "missing", -1)/26</f>
        <v>2441.5769230769229</v>
      </c>
      <c r="E30" s="9">
        <f>_xlfn.XLOOKUP(A30, 'MaxPayPoints Transposed'!A:A, 'MaxPayPoints Transposed'!E:E, "missing", -1)/26</f>
        <v>2740.2692307692309</v>
      </c>
      <c r="F30" s="9">
        <f>_xlfn.XLOOKUP(A30, 'MaxPayPoints Transposed'!A:A, 'MaxPayPoints Transposed'!F:F, "missing", -1)/26</f>
        <v>3036</v>
      </c>
      <c r="G30" s="9">
        <f>_xlfn.XLOOKUP(A30, 'MaxPayPoints Transposed'!A:A, 'MaxPayPoints Transposed'!G:G, "missing", -1)/26</f>
        <v>3492.5</v>
      </c>
      <c r="H30" s="9">
        <f>_xlfn.XLOOKUP(A30, 'MaxPayPoints Transposed'!A:A, 'MaxPayPoints Transposed'!H:H, "missing", -1)/26</f>
        <v>4212.6153846153848</v>
      </c>
      <c r="I30" s="9">
        <f>_xlfn.XLOOKUP(A30, 'MaxPayPoints Transposed'!A:A, 'MaxPayPoints Transposed'!I:I, "missing", -1)/26</f>
        <v>5110.7307692307695</v>
      </c>
      <c r="J30" s="9">
        <f>_xlfn.XLOOKUP(A30, 'MaxPayPoints Transposed'!A:A, 'MaxPayPoints Transposed'!J:J, "missing", -1)/26</f>
        <v>5553.9615384615381</v>
      </c>
    </row>
    <row r="31" spans="1:10" x14ac:dyDescent="0.35">
      <c r="A31" s="7">
        <v>44245</v>
      </c>
      <c r="B31" s="20">
        <f>_xlfn.XLOOKUP(A31, CPI!A:A, CPI!B:B, "missing",-1,1)/6.5</f>
        <v>0.13846153846153847</v>
      </c>
      <c r="C31" s="21">
        <f>_xlfn.XLOOKUP(A31, SLCI!A:A, SLCI!B:B, "missing", -1)/6.5</f>
        <v>0.13846153846153847</v>
      </c>
      <c r="D31" s="9">
        <f>_xlfn.XLOOKUP(A31, 'MaxPayPoints Transposed'!A:A, 'MaxPayPoints Transposed'!D:D, "missing", -1)/26</f>
        <v>2441.5769230769229</v>
      </c>
      <c r="E31" s="9">
        <f>_xlfn.XLOOKUP(A31, 'MaxPayPoints Transposed'!A:A, 'MaxPayPoints Transposed'!E:E, "missing", -1)/26</f>
        <v>2740.2692307692309</v>
      </c>
      <c r="F31" s="9">
        <f>_xlfn.XLOOKUP(A31, 'MaxPayPoints Transposed'!A:A, 'MaxPayPoints Transposed'!F:F, "missing", -1)/26</f>
        <v>3036</v>
      </c>
      <c r="G31" s="9">
        <f>_xlfn.XLOOKUP(A31, 'MaxPayPoints Transposed'!A:A, 'MaxPayPoints Transposed'!G:G, "missing", -1)/26</f>
        <v>3492.5</v>
      </c>
      <c r="H31" s="9">
        <f>_xlfn.XLOOKUP(A31, 'MaxPayPoints Transposed'!A:A, 'MaxPayPoints Transposed'!H:H, "missing", -1)/26</f>
        <v>4212.6153846153848</v>
      </c>
      <c r="I31" s="9">
        <f>_xlfn.XLOOKUP(A31, 'MaxPayPoints Transposed'!A:A, 'MaxPayPoints Transposed'!I:I, "missing", -1)/26</f>
        <v>5110.7307692307695</v>
      </c>
      <c r="J31" s="9">
        <f>_xlfn.XLOOKUP(A31, 'MaxPayPoints Transposed'!A:A, 'MaxPayPoints Transposed'!J:J, "missing", -1)/26</f>
        <v>5553.9615384615381</v>
      </c>
    </row>
    <row r="32" spans="1:10" x14ac:dyDescent="0.35">
      <c r="A32" s="7">
        <v>44259</v>
      </c>
      <c r="B32" s="20">
        <f>_xlfn.XLOOKUP(A32, CPI!A:A, CPI!B:B, "missing",-1,1)/6.5</f>
        <v>9.2307692307692299E-2</v>
      </c>
      <c r="C32" s="21">
        <f>_xlfn.XLOOKUP(A32, SLCI!A:A, SLCI!B:B, "missing", -1)/6.5</f>
        <v>7.6923076923076927E-2</v>
      </c>
      <c r="D32" s="9">
        <f>_xlfn.XLOOKUP(A32, 'MaxPayPoints Transposed'!A:A, 'MaxPayPoints Transposed'!D:D, "missing", -1)/26</f>
        <v>2441.5769230769229</v>
      </c>
      <c r="E32" s="9">
        <f>_xlfn.XLOOKUP(A32, 'MaxPayPoints Transposed'!A:A, 'MaxPayPoints Transposed'!E:E, "missing", -1)/26</f>
        <v>2740.2692307692309</v>
      </c>
      <c r="F32" s="9">
        <f>_xlfn.XLOOKUP(A32, 'MaxPayPoints Transposed'!A:A, 'MaxPayPoints Transposed'!F:F, "missing", -1)/26</f>
        <v>3036</v>
      </c>
      <c r="G32" s="9">
        <f>_xlfn.XLOOKUP(A32, 'MaxPayPoints Transposed'!A:A, 'MaxPayPoints Transposed'!G:G, "missing", -1)/26</f>
        <v>3492.5</v>
      </c>
      <c r="H32" s="9">
        <f>_xlfn.XLOOKUP(A32, 'MaxPayPoints Transposed'!A:A, 'MaxPayPoints Transposed'!H:H, "missing", -1)/26</f>
        <v>4212.6153846153848</v>
      </c>
      <c r="I32" s="9">
        <f>_xlfn.XLOOKUP(A32, 'MaxPayPoints Transposed'!A:A, 'MaxPayPoints Transposed'!I:I, "missing", -1)/26</f>
        <v>5110.7307692307695</v>
      </c>
      <c r="J32" s="9">
        <f>_xlfn.XLOOKUP(A32, 'MaxPayPoints Transposed'!A:A, 'MaxPayPoints Transposed'!J:J, "missing", -1)/26</f>
        <v>5553.9615384615381</v>
      </c>
    </row>
    <row r="33" spans="1:10" x14ac:dyDescent="0.35">
      <c r="A33" s="7">
        <v>44273</v>
      </c>
      <c r="B33" s="20">
        <f>_xlfn.XLOOKUP(A33, CPI!A:A, CPI!B:B, "missing",-1,1)/6.5</f>
        <v>9.2307692307692299E-2</v>
      </c>
      <c r="C33" s="21">
        <f>_xlfn.XLOOKUP(A33, SLCI!A:A, SLCI!B:B, "missing", -1)/6.5</f>
        <v>7.6923076923076927E-2</v>
      </c>
      <c r="D33" s="9">
        <f>_xlfn.XLOOKUP(A33, 'MaxPayPoints Transposed'!A:A, 'MaxPayPoints Transposed'!D:D, "missing", -1)/26</f>
        <v>2466</v>
      </c>
      <c r="E33" s="9">
        <f>_xlfn.XLOOKUP(A33, 'MaxPayPoints Transposed'!A:A, 'MaxPayPoints Transposed'!E:E, "missing", -1)/26</f>
        <v>2767.6538461538462</v>
      </c>
      <c r="F33" s="9">
        <f>_xlfn.XLOOKUP(A33, 'MaxPayPoints Transposed'!A:A, 'MaxPayPoints Transposed'!F:F, "missing", -1)/26</f>
        <v>3066.3461538461538</v>
      </c>
      <c r="G33" s="9">
        <f>_xlfn.XLOOKUP(A33, 'MaxPayPoints Transposed'!A:A, 'MaxPayPoints Transposed'!G:G, "missing", -1)/26</f>
        <v>3527.4230769230771</v>
      </c>
      <c r="H33" s="9">
        <f>_xlfn.XLOOKUP(A33, 'MaxPayPoints Transposed'!A:A, 'MaxPayPoints Transposed'!H:H, "missing", -1)/26</f>
        <v>4254.7307692307695</v>
      </c>
      <c r="I33" s="9">
        <f>_xlfn.XLOOKUP(A33, 'MaxPayPoints Transposed'!A:A, 'MaxPayPoints Transposed'!I:I, "missing", -1)/26</f>
        <v>5161.8461538461543</v>
      </c>
      <c r="J33" s="9">
        <f>_xlfn.XLOOKUP(A33, 'MaxPayPoints Transposed'!A:A, 'MaxPayPoints Transposed'!J:J, "missing", -1)/26</f>
        <v>5609.5</v>
      </c>
    </row>
    <row r="34" spans="1:10" x14ac:dyDescent="0.35">
      <c r="A34" s="7">
        <v>44287</v>
      </c>
      <c r="B34" s="20">
        <f>_xlfn.XLOOKUP(A34, CPI!A:A, CPI!B:B, "missing",-1,1)/6.5</f>
        <v>9.2307692307692299E-2</v>
      </c>
      <c r="C34" s="21">
        <f>_xlfn.XLOOKUP(A34, SLCI!A:A, SLCI!B:B, "missing", -1)/6.5</f>
        <v>7.6923076923076927E-2</v>
      </c>
      <c r="D34" s="9">
        <f>_xlfn.XLOOKUP(A34, 'MaxPayPoints Transposed'!A:A, 'MaxPayPoints Transposed'!D:D, "missing", -1)/26</f>
        <v>2466</v>
      </c>
      <c r="E34" s="9">
        <f>_xlfn.XLOOKUP(A34, 'MaxPayPoints Transposed'!A:A, 'MaxPayPoints Transposed'!E:E, "missing", -1)/26</f>
        <v>2767.6538461538462</v>
      </c>
      <c r="F34" s="9">
        <f>_xlfn.XLOOKUP(A34, 'MaxPayPoints Transposed'!A:A, 'MaxPayPoints Transposed'!F:F, "missing", -1)/26</f>
        <v>3066.3461538461538</v>
      </c>
      <c r="G34" s="9">
        <f>_xlfn.XLOOKUP(A34, 'MaxPayPoints Transposed'!A:A, 'MaxPayPoints Transposed'!G:G, "missing", -1)/26</f>
        <v>3527.4230769230771</v>
      </c>
      <c r="H34" s="9">
        <f>_xlfn.XLOOKUP(A34, 'MaxPayPoints Transposed'!A:A, 'MaxPayPoints Transposed'!H:H, "missing", -1)/26</f>
        <v>4254.7307692307695</v>
      </c>
      <c r="I34" s="9">
        <f>_xlfn.XLOOKUP(A34, 'MaxPayPoints Transposed'!A:A, 'MaxPayPoints Transposed'!I:I, "missing", -1)/26</f>
        <v>5161.8461538461543</v>
      </c>
      <c r="J34" s="9">
        <f>_xlfn.XLOOKUP(A34, 'MaxPayPoints Transposed'!A:A, 'MaxPayPoints Transposed'!J:J, "missing", -1)/26</f>
        <v>5609.5</v>
      </c>
    </row>
    <row r="35" spans="1:10" x14ac:dyDescent="0.35">
      <c r="A35" s="7">
        <v>44301</v>
      </c>
      <c r="B35" s="20">
        <f>_xlfn.XLOOKUP(A35, CPI!A:A, CPI!B:B, "missing",-1,1)/6.5</f>
        <v>9.2307692307692299E-2</v>
      </c>
      <c r="C35" s="21">
        <f>_xlfn.XLOOKUP(A35, SLCI!A:A, SLCI!B:B, "missing", -1)/6.5</f>
        <v>7.6923076923076927E-2</v>
      </c>
      <c r="D35" s="9">
        <f>_xlfn.XLOOKUP(A35, 'MaxPayPoints Transposed'!A:A, 'MaxPayPoints Transposed'!D:D, "missing", -1)/26</f>
        <v>2466</v>
      </c>
      <c r="E35" s="9">
        <f>_xlfn.XLOOKUP(A35, 'MaxPayPoints Transposed'!A:A, 'MaxPayPoints Transposed'!E:E, "missing", -1)/26</f>
        <v>2767.6538461538462</v>
      </c>
      <c r="F35" s="9">
        <f>_xlfn.XLOOKUP(A35, 'MaxPayPoints Transposed'!A:A, 'MaxPayPoints Transposed'!F:F, "missing", -1)/26</f>
        <v>3066.3461538461538</v>
      </c>
      <c r="G35" s="9">
        <f>_xlfn.XLOOKUP(A35, 'MaxPayPoints Transposed'!A:A, 'MaxPayPoints Transposed'!G:G, "missing", -1)/26</f>
        <v>3527.4230769230771</v>
      </c>
      <c r="H35" s="9">
        <f>_xlfn.XLOOKUP(A35, 'MaxPayPoints Transposed'!A:A, 'MaxPayPoints Transposed'!H:H, "missing", -1)/26</f>
        <v>4254.7307692307695</v>
      </c>
      <c r="I35" s="9">
        <f>_xlfn.XLOOKUP(A35, 'MaxPayPoints Transposed'!A:A, 'MaxPayPoints Transposed'!I:I, "missing", -1)/26</f>
        <v>5161.8461538461543</v>
      </c>
      <c r="J35" s="9">
        <f>_xlfn.XLOOKUP(A35, 'MaxPayPoints Transposed'!A:A, 'MaxPayPoints Transposed'!J:J, "missing", -1)/26</f>
        <v>5609.5</v>
      </c>
    </row>
    <row r="36" spans="1:10" x14ac:dyDescent="0.35">
      <c r="A36" s="7">
        <v>44315</v>
      </c>
      <c r="B36" s="20">
        <f>_xlfn.XLOOKUP(A36, CPI!A:A, CPI!B:B, "missing",-1,1)/6.5</f>
        <v>9.2307692307692299E-2</v>
      </c>
      <c r="C36" s="21">
        <f>_xlfn.XLOOKUP(A36, SLCI!A:A, SLCI!B:B, "missing", -1)/6.5</f>
        <v>7.6923076923076927E-2</v>
      </c>
      <c r="D36" s="9">
        <f>_xlfn.XLOOKUP(A36, 'MaxPayPoints Transposed'!A:A, 'MaxPayPoints Transposed'!D:D, "missing", -1)/26</f>
        <v>2466</v>
      </c>
      <c r="E36" s="9">
        <f>_xlfn.XLOOKUP(A36, 'MaxPayPoints Transposed'!A:A, 'MaxPayPoints Transposed'!E:E, "missing", -1)/26</f>
        <v>2767.6538461538462</v>
      </c>
      <c r="F36" s="9">
        <f>_xlfn.XLOOKUP(A36, 'MaxPayPoints Transposed'!A:A, 'MaxPayPoints Transposed'!F:F, "missing", -1)/26</f>
        <v>3066.3461538461538</v>
      </c>
      <c r="G36" s="9">
        <f>_xlfn.XLOOKUP(A36, 'MaxPayPoints Transposed'!A:A, 'MaxPayPoints Transposed'!G:G, "missing", -1)/26</f>
        <v>3527.4230769230771</v>
      </c>
      <c r="H36" s="9">
        <f>_xlfn.XLOOKUP(A36, 'MaxPayPoints Transposed'!A:A, 'MaxPayPoints Transposed'!H:H, "missing", -1)/26</f>
        <v>4254.7307692307695</v>
      </c>
      <c r="I36" s="9">
        <f>_xlfn.XLOOKUP(A36, 'MaxPayPoints Transposed'!A:A, 'MaxPayPoints Transposed'!I:I, "missing", -1)/26</f>
        <v>5161.8461538461543</v>
      </c>
      <c r="J36" s="9">
        <f>_xlfn.XLOOKUP(A36, 'MaxPayPoints Transposed'!A:A, 'MaxPayPoints Transposed'!J:J, "missing", -1)/26</f>
        <v>5609.5</v>
      </c>
    </row>
    <row r="37" spans="1:10" x14ac:dyDescent="0.35">
      <c r="A37" s="7">
        <v>44329</v>
      </c>
      <c r="B37" s="20">
        <f>_xlfn.XLOOKUP(A37, CPI!A:A, CPI!B:B, "missing",-1,1)/6.5</f>
        <v>9.2307692307692299E-2</v>
      </c>
      <c r="C37" s="21">
        <f>_xlfn.XLOOKUP(A37, SLCI!A:A, SLCI!B:B, "missing", -1)/6.5</f>
        <v>7.6923076923076927E-2</v>
      </c>
      <c r="D37" s="9">
        <f>_xlfn.XLOOKUP(A37, 'MaxPayPoints Transposed'!A:A, 'MaxPayPoints Transposed'!D:D, "missing", -1)/26</f>
        <v>2466</v>
      </c>
      <c r="E37" s="9">
        <f>_xlfn.XLOOKUP(A37, 'MaxPayPoints Transposed'!A:A, 'MaxPayPoints Transposed'!E:E, "missing", -1)/26</f>
        <v>2767.6538461538462</v>
      </c>
      <c r="F37" s="9">
        <f>_xlfn.XLOOKUP(A37, 'MaxPayPoints Transposed'!A:A, 'MaxPayPoints Transposed'!F:F, "missing", -1)/26</f>
        <v>3066.3461538461538</v>
      </c>
      <c r="G37" s="9">
        <f>_xlfn.XLOOKUP(A37, 'MaxPayPoints Transposed'!A:A, 'MaxPayPoints Transposed'!G:G, "missing", -1)/26</f>
        <v>3527.4230769230771</v>
      </c>
      <c r="H37" s="9">
        <f>_xlfn.XLOOKUP(A37, 'MaxPayPoints Transposed'!A:A, 'MaxPayPoints Transposed'!H:H, "missing", -1)/26</f>
        <v>4254.7307692307695</v>
      </c>
      <c r="I37" s="9">
        <f>_xlfn.XLOOKUP(A37, 'MaxPayPoints Transposed'!A:A, 'MaxPayPoints Transposed'!I:I, "missing", -1)/26</f>
        <v>5161.8461538461543</v>
      </c>
      <c r="J37" s="9">
        <f>_xlfn.XLOOKUP(A37, 'MaxPayPoints Transposed'!A:A, 'MaxPayPoints Transposed'!J:J, "missing", -1)/26</f>
        <v>5609.5</v>
      </c>
    </row>
    <row r="38" spans="1:10" x14ac:dyDescent="0.35">
      <c r="A38" s="7">
        <v>44343</v>
      </c>
      <c r="B38" s="20">
        <f>_xlfn.XLOOKUP(A38, CPI!A:A, CPI!B:B, "missing",-1,1)/6.5</f>
        <v>9.2307692307692299E-2</v>
      </c>
      <c r="C38" s="21">
        <f>_xlfn.XLOOKUP(A38, SLCI!A:A, SLCI!B:B, "missing", -1)/6.5</f>
        <v>7.6923076923076927E-2</v>
      </c>
      <c r="D38" s="9">
        <f>_xlfn.XLOOKUP(A38, 'MaxPayPoints Transposed'!A:A, 'MaxPayPoints Transposed'!D:D, "missing", -1)/26</f>
        <v>2466</v>
      </c>
      <c r="E38" s="9">
        <f>_xlfn.XLOOKUP(A38, 'MaxPayPoints Transposed'!A:A, 'MaxPayPoints Transposed'!E:E, "missing", -1)/26</f>
        <v>2767.6538461538462</v>
      </c>
      <c r="F38" s="9">
        <f>_xlfn.XLOOKUP(A38, 'MaxPayPoints Transposed'!A:A, 'MaxPayPoints Transposed'!F:F, "missing", -1)/26</f>
        <v>3066.3461538461538</v>
      </c>
      <c r="G38" s="9">
        <f>_xlfn.XLOOKUP(A38, 'MaxPayPoints Transposed'!A:A, 'MaxPayPoints Transposed'!G:G, "missing", -1)/26</f>
        <v>3527.4230769230771</v>
      </c>
      <c r="H38" s="9">
        <f>_xlfn.XLOOKUP(A38, 'MaxPayPoints Transposed'!A:A, 'MaxPayPoints Transposed'!H:H, "missing", -1)/26</f>
        <v>4254.7307692307695</v>
      </c>
      <c r="I38" s="9">
        <f>_xlfn.XLOOKUP(A38, 'MaxPayPoints Transposed'!A:A, 'MaxPayPoints Transposed'!I:I, "missing", -1)/26</f>
        <v>5161.8461538461543</v>
      </c>
      <c r="J38" s="9">
        <f>_xlfn.XLOOKUP(A38, 'MaxPayPoints Transposed'!A:A, 'MaxPayPoints Transposed'!J:J, "missing", -1)/26</f>
        <v>5609.5</v>
      </c>
    </row>
    <row r="39" spans="1:10" x14ac:dyDescent="0.35">
      <c r="A39" s="7">
        <v>44357</v>
      </c>
      <c r="B39" s="20">
        <f>_xlfn.XLOOKUP(A39, CPI!A:A, CPI!B:B, "missing",-1,1)/6.5</f>
        <v>0.10769230769230768</v>
      </c>
      <c r="C39" s="21">
        <f>_xlfn.XLOOKUP(A39, SLCI!A:A, SLCI!B:B, "missing", -1)/6.5</f>
        <v>0.10769230769230768</v>
      </c>
      <c r="D39" s="9">
        <f>_xlfn.XLOOKUP(A39, 'MaxPayPoints Transposed'!A:A, 'MaxPayPoints Transposed'!D:D, "missing", -1)/26</f>
        <v>2466</v>
      </c>
      <c r="E39" s="9">
        <f>_xlfn.XLOOKUP(A39, 'MaxPayPoints Transposed'!A:A, 'MaxPayPoints Transposed'!E:E, "missing", -1)/26</f>
        <v>2767.6538461538462</v>
      </c>
      <c r="F39" s="9">
        <f>_xlfn.XLOOKUP(A39, 'MaxPayPoints Transposed'!A:A, 'MaxPayPoints Transposed'!F:F, "missing", -1)/26</f>
        <v>3066.3461538461538</v>
      </c>
      <c r="G39" s="9">
        <f>_xlfn.XLOOKUP(A39, 'MaxPayPoints Transposed'!A:A, 'MaxPayPoints Transposed'!G:G, "missing", -1)/26</f>
        <v>3527.4230769230771</v>
      </c>
      <c r="H39" s="9">
        <f>_xlfn.XLOOKUP(A39, 'MaxPayPoints Transposed'!A:A, 'MaxPayPoints Transposed'!H:H, "missing", -1)/26</f>
        <v>4254.7307692307695</v>
      </c>
      <c r="I39" s="9">
        <f>_xlfn.XLOOKUP(A39, 'MaxPayPoints Transposed'!A:A, 'MaxPayPoints Transposed'!I:I, "missing", -1)/26</f>
        <v>5161.8461538461543</v>
      </c>
      <c r="J39" s="9">
        <f>_xlfn.XLOOKUP(A39, 'MaxPayPoints Transposed'!A:A, 'MaxPayPoints Transposed'!J:J, "missing", -1)/26</f>
        <v>5609.5</v>
      </c>
    </row>
    <row r="40" spans="1:10" x14ac:dyDescent="0.35">
      <c r="A40" s="7">
        <v>44371</v>
      </c>
      <c r="B40" s="20">
        <f>_xlfn.XLOOKUP(A40, CPI!A:A, CPI!B:B, "missing",-1,1)/6.5</f>
        <v>0.10769230769230768</v>
      </c>
      <c r="C40" s="21">
        <f>_xlfn.XLOOKUP(A40, SLCI!A:A, SLCI!B:B, "missing", -1)/6.5</f>
        <v>0.10769230769230768</v>
      </c>
      <c r="D40" s="9">
        <f>_xlfn.XLOOKUP(A40, 'MaxPayPoints Transposed'!A:A, 'MaxPayPoints Transposed'!D:D, "missing", -1)/26</f>
        <v>2466</v>
      </c>
      <c r="E40" s="9">
        <f>_xlfn.XLOOKUP(A40, 'MaxPayPoints Transposed'!A:A, 'MaxPayPoints Transposed'!E:E, "missing", -1)/26</f>
        <v>2767.6538461538462</v>
      </c>
      <c r="F40" s="9">
        <f>_xlfn.XLOOKUP(A40, 'MaxPayPoints Transposed'!A:A, 'MaxPayPoints Transposed'!F:F, "missing", -1)/26</f>
        <v>3066.3461538461538</v>
      </c>
      <c r="G40" s="9">
        <f>_xlfn.XLOOKUP(A40, 'MaxPayPoints Transposed'!A:A, 'MaxPayPoints Transposed'!G:G, "missing", -1)/26</f>
        <v>3527.4230769230771</v>
      </c>
      <c r="H40" s="9">
        <f>_xlfn.XLOOKUP(A40, 'MaxPayPoints Transposed'!A:A, 'MaxPayPoints Transposed'!H:H, "missing", -1)/26</f>
        <v>4254.7307692307695</v>
      </c>
      <c r="I40" s="9">
        <f>_xlfn.XLOOKUP(A40, 'MaxPayPoints Transposed'!A:A, 'MaxPayPoints Transposed'!I:I, "missing", -1)/26</f>
        <v>5161.8461538461543</v>
      </c>
      <c r="J40" s="9">
        <f>_xlfn.XLOOKUP(A40, 'MaxPayPoints Transposed'!A:A, 'MaxPayPoints Transposed'!J:J, "missing", -1)/26</f>
        <v>5609.5</v>
      </c>
    </row>
    <row r="41" spans="1:10" x14ac:dyDescent="0.35">
      <c r="A41" s="7">
        <v>44385</v>
      </c>
      <c r="B41" s="20">
        <f>_xlfn.XLOOKUP(A41, CPI!A:A, CPI!B:B, "missing",-1,1)/6.5</f>
        <v>0.10769230769230768</v>
      </c>
      <c r="C41" s="21">
        <f>_xlfn.XLOOKUP(A41, SLCI!A:A, SLCI!B:B, "missing", -1)/6.5</f>
        <v>0.10769230769230768</v>
      </c>
      <c r="D41" s="9">
        <f>_xlfn.XLOOKUP(A41, 'MaxPayPoints Transposed'!A:A, 'MaxPayPoints Transposed'!D:D, "missing", -1)/26</f>
        <v>2466</v>
      </c>
      <c r="E41" s="9">
        <f>_xlfn.XLOOKUP(A41, 'MaxPayPoints Transposed'!A:A, 'MaxPayPoints Transposed'!E:E, "missing", -1)/26</f>
        <v>2767.6538461538462</v>
      </c>
      <c r="F41" s="9">
        <f>_xlfn.XLOOKUP(A41, 'MaxPayPoints Transposed'!A:A, 'MaxPayPoints Transposed'!F:F, "missing", -1)/26</f>
        <v>3066.3461538461538</v>
      </c>
      <c r="G41" s="9">
        <f>_xlfn.XLOOKUP(A41, 'MaxPayPoints Transposed'!A:A, 'MaxPayPoints Transposed'!G:G, "missing", -1)/26</f>
        <v>3527.4230769230771</v>
      </c>
      <c r="H41" s="9">
        <f>_xlfn.XLOOKUP(A41, 'MaxPayPoints Transposed'!A:A, 'MaxPayPoints Transposed'!H:H, "missing", -1)/26</f>
        <v>4254.7307692307695</v>
      </c>
      <c r="I41" s="9">
        <f>_xlfn.XLOOKUP(A41, 'MaxPayPoints Transposed'!A:A, 'MaxPayPoints Transposed'!I:I, "missing", -1)/26</f>
        <v>5161.8461538461543</v>
      </c>
      <c r="J41" s="9">
        <f>_xlfn.XLOOKUP(A41, 'MaxPayPoints Transposed'!A:A, 'MaxPayPoints Transposed'!J:J, "missing", -1)/26</f>
        <v>5609.5</v>
      </c>
    </row>
    <row r="42" spans="1:10" x14ac:dyDescent="0.35">
      <c r="A42" s="7">
        <v>44399</v>
      </c>
      <c r="B42" s="20">
        <f>_xlfn.XLOOKUP(A42, CPI!A:A, CPI!B:B, "missing",-1,1)/6.5</f>
        <v>0.10769230769230768</v>
      </c>
      <c r="C42" s="21">
        <f>_xlfn.XLOOKUP(A42, SLCI!A:A, SLCI!B:B, "missing", -1)/6.5</f>
        <v>0.10769230769230768</v>
      </c>
      <c r="D42" s="9">
        <f>_xlfn.XLOOKUP(A42, 'MaxPayPoints Transposed'!A:A, 'MaxPayPoints Transposed'!D:D, "missing", -1)/26</f>
        <v>2466</v>
      </c>
      <c r="E42" s="9">
        <f>_xlfn.XLOOKUP(A42, 'MaxPayPoints Transposed'!A:A, 'MaxPayPoints Transposed'!E:E, "missing", -1)/26</f>
        <v>2767.6538461538462</v>
      </c>
      <c r="F42" s="9">
        <f>_xlfn.XLOOKUP(A42, 'MaxPayPoints Transposed'!A:A, 'MaxPayPoints Transposed'!F:F, "missing", -1)/26</f>
        <v>3066.3461538461538</v>
      </c>
      <c r="G42" s="9">
        <f>_xlfn.XLOOKUP(A42, 'MaxPayPoints Transposed'!A:A, 'MaxPayPoints Transposed'!G:G, "missing", -1)/26</f>
        <v>3527.4230769230771</v>
      </c>
      <c r="H42" s="9">
        <f>_xlfn.XLOOKUP(A42, 'MaxPayPoints Transposed'!A:A, 'MaxPayPoints Transposed'!H:H, "missing", -1)/26</f>
        <v>4254.7307692307695</v>
      </c>
      <c r="I42" s="9">
        <f>_xlfn.XLOOKUP(A42, 'MaxPayPoints Transposed'!A:A, 'MaxPayPoints Transposed'!I:I, "missing", -1)/26</f>
        <v>5161.8461538461543</v>
      </c>
      <c r="J42" s="9">
        <f>_xlfn.XLOOKUP(A42, 'MaxPayPoints Transposed'!A:A, 'MaxPayPoints Transposed'!J:J, "missing", -1)/26</f>
        <v>5609.5</v>
      </c>
    </row>
    <row r="43" spans="1:10" x14ac:dyDescent="0.35">
      <c r="A43" s="7">
        <v>44413</v>
      </c>
      <c r="B43" s="20">
        <f>_xlfn.XLOOKUP(A43, CPI!A:A, CPI!B:B, "missing",-1,1)/6.5</f>
        <v>0.10769230769230768</v>
      </c>
      <c r="C43" s="21">
        <f>_xlfn.XLOOKUP(A43, SLCI!A:A, SLCI!B:B, "missing", -1)/6.5</f>
        <v>0.10769230769230768</v>
      </c>
      <c r="D43" s="9">
        <f>_xlfn.XLOOKUP(A43, 'MaxPayPoints Transposed'!A:A, 'MaxPayPoints Transposed'!D:D, "missing", -1)/26</f>
        <v>2466</v>
      </c>
      <c r="E43" s="9">
        <f>_xlfn.XLOOKUP(A43, 'MaxPayPoints Transposed'!A:A, 'MaxPayPoints Transposed'!E:E, "missing", -1)/26</f>
        <v>2767.6538461538462</v>
      </c>
      <c r="F43" s="9">
        <f>_xlfn.XLOOKUP(A43, 'MaxPayPoints Transposed'!A:A, 'MaxPayPoints Transposed'!F:F, "missing", -1)/26</f>
        <v>3066.3461538461538</v>
      </c>
      <c r="G43" s="9">
        <f>_xlfn.XLOOKUP(A43, 'MaxPayPoints Transposed'!A:A, 'MaxPayPoints Transposed'!G:G, "missing", -1)/26</f>
        <v>3527.4230769230771</v>
      </c>
      <c r="H43" s="9">
        <f>_xlfn.XLOOKUP(A43, 'MaxPayPoints Transposed'!A:A, 'MaxPayPoints Transposed'!H:H, "missing", -1)/26</f>
        <v>4254.7307692307695</v>
      </c>
      <c r="I43" s="9">
        <f>_xlfn.XLOOKUP(A43, 'MaxPayPoints Transposed'!A:A, 'MaxPayPoints Transposed'!I:I, "missing", -1)/26</f>
        <v>5161.8461538461543</v>
      </c>
      <c r="J43" s="9">
        <f>_xlfn.XLOOKUP(A43, 'MaxPayPoints Transposed'!A:A, 'MaxPayPoints Transposed'!J:J, "missing", -1)/26</f>
        <v>5609.5</v>
      </c>
    </row>
    <row r="44" spans="1:10" x14ac:dyDescent="0.35">
      <c r="A44" s="7">
        <v>44427</v>
      </c>
      <c r="B44" s="20">
        <f>_xlfn.XLOOKUP(A44, CPI!A:A, CPI!B:B, "missing",-1,1)/6.5</f>
        <v>0.10769230769230768</v>
      </c>
      <c r="C44" s="21">
        <f>_xlfn.XLOOKUP(A44, SLCI!A:A, SLCI!B:B, "missing", -1)/6.5</f>
        <v>0.10769230769230768</v>
      </c>
      <c r="D44" s="9">
        <f>_xlfn.XLOOKUP(A44, 'MaxPayPoints Transposed'!A:A, 'MaxPayPoints Transposed'!D:D, "missing", -1)/26</f>
        <v>2466</v>
      </c>
      <c r="E44" s="9">
        <f>_xlfn.XLOOKUP(A44, 'MaxPayPoints Transposed'!A:A, 'MaxPayPoints Transposed'!E:E, "missing", -1)/26</f>
        <v>2767.6538461538462</v>
      </c>
      <c r="F44" s="9">
        <f>_xlfn.XLOOKUP(A44, 'MaxPayPoints Transposed'!A:A, 'MaxPayPoints Transposed'!F:F, "missing", -1)/26</f>
        <v>3066.3461538461538</v>
      </c>
      <c r="G44" s="9">
        <f>_xlfn.XLOOKUP(A44, 'MaxPayPoints Transposed'!A:A, 'MaxPayPoints Transposed'!G:G, "missing", -1)/26</f>
        <v>3527.4230769230771</v>
      </c>
      <c r="H44" s="9">
        <f>_xlfn.XLOOKUP(A44, 'MaxPayPoints Transposed'!A:A, 'MaxPayPoints Transposed'!H:H, "missing", -1)/26</f>
        <v>4254.7307692307695</v>
      </c>
      <c r="I44" s="9">
        <f>_xlfn.XLOOKUP(A44, 'MaxPayPoints Transposed'!A:A, 'MaxPayPoints Transposed'!I:I, "missing", -1)/26</f>
        <v>5161.8461538461543</v>
      </c>
      <c r="J44" s="9">
        <f>_xlfn.XLOOKUP(A44, 'MaxPayPoints Transposed'!A:A, 'MaxPayPoints Transposed'!J:J, "missing", -1)/26</f>
        <v>5609.5</v>
      </c>
    </row>
    <row r="45" spans="1:10" x14ac:dyDescent="0.35">
      <c r="A45" s="7">
        <v>44441</v>
      </c>
      <c r="B45" s="20">
        <f>_xlfn.XLOOKUP(A45, CPI!A:A, CPI!B:B, "missing",-1,1)/6.5</f>
        <v>0.12307692307692308</v>
      </c>
      <c r="C45" s="21">
        <f>_xlfn.XLOOKUP(A45, SLCI!A:A, SLCI!B:B, "missing", -1)/6.5</f>
        <v>9.2307692307692299E-2</v>
      </c>
      <c r="D45" s="9">
        <f>_xlfn.XLOOKUP(A45, 'MaxPayPoints Transposed'!A:A, 'MaxPayPoints Transposed'!D:D, "missing", -1)/26</f>
        <v>2466</v>
      </c>
      <c r="E45" s="9">
        <f>_xlfn.XLOOKUP(A45, 'MaxPayPoints Transposed'!A:A, 'MaxPayPoints Transposed'!E:E, "missing", -1)/26</f>
        <v>2767.6538461538462</v>
      </c>
      <c r="F45" s="9">
        <f>_xlfn.XLOOKUP(A45, 'MaxPayPoints Transposed'!A:A, 'MaxPayPoints Transposed'!F:F, "missing", -1)/26</f>
        <v>3066.3461538461538</v>
      </c>
      <c r="G45" s="9">
        <f>_xlfn.XLOOKUP(A45, 'MaxPayPoints Transposed'!A:A, 'MaxPayPoints Transposed'!G:G, "missing", -1)/26</f>
        <v>3527.4230769230771</v>
      </c>
      <c r="H45" s="9">
        <f>_xlfn.XLOOKUP(A45, 'MaxPayPoints Transposed'!A:A, 'MaxPayPoints Transposed'!H:H, "missing", -1)/26</f>
        <v>4254.7307692307695</v>
      </c>
      <c r="I45" s="9">
        <f>_xlfn.XLOOKUP(A45, 'MaxPayPoints Transposed'!A:A, 'MaxPayPoints Transposed'!I:I, "missing", -1)/26</f>
        <v>5161.8461538461543</v>
      </c>
      <c r="J45" s="9">
        <f>_xlfn.XLOOKUP(A45, 'MaxPayPoints Transposed'!A:A, 'MaxPayPoints Transposed'!J:J, "missing", -1)/26</f>
        <v>5609.5</v>
      </c>
    </row>
    <row r="46" spans="1:10" x14ac:dyDescent="0.35">
      <c r="A46" s="7">
        <v>44455</v>
      </c>
      <c r="B46" s="20">
        <f>_xlfn.XLOOKUP(A46, CPI!A:A, CPI!B:B, "missing",-1,1)/6.5</f>
        <v>0.12307692307692308</v>
      </c>
      <c r="C46" s="21">
        <f>_xlfn.XLOOKUP(A46, SLCI!A:A, SLCI!B:B, "missing", -1)/6.5</f>
        <v>9.2307692307692299E-2</v>
      </c>
      <c r="D46" s="9">
        <f>_xlfn.XLOOKUP(A46, 'MaxPayPoints Transposed'!A:A, 'MaxPayPoints Transposed'!D:D, "missing", -1)/26</f>
        <v>2466</v>
      </c>
      <c r="E46" s="9">
        <f>_xlfn.XLOOKUP(A46, 'MaxPayPoints Transposed'!A:A, 'MaxPayPoints Transposed'!E:E, "missing", -1)/26</f>
        <v>2767.6538461538462</v>
      </c>
      <c r="F46" s="9">
        <f>_xlfn.XLOOKUP(A46, 'MaxPayPoints Transposed'!A:A, 'MaxPayPoints Transposed'!F:F, "missing", -1)/26</f>
        <v>3066.3461538461538</v>
      </c>
      <c r="G46" s="9">
        <f>_xlfn.XLOOKUP(A46, 'MaxPayPoints Transposed'!A:A, 'MaxPayPoints Transposed'!G:G, "missing", -1)/26</f>
        <v>3527.4230769230771</v>
      </c>
      <c r="H46" s="9">
        <f>_xlfn.XLOOKUP(A46, 'MaxPayPoints Transposed'!A:A, 'MaxPayPoints Transposed'!H:H, "missing", -1)/26</f>
        <v>4254.7307692307695</v>
      </c>
      <c r="I46" s="9">
        <f>_xlfn.XLOOKUP(A46, 'MaxPayPoints Transposed'!A:A, 'MaxPayPoints Transposed'!I:I, "missing", -1)/26</f>
        <v>5161.8461538461543</v>
      </c>
      <c r="J46" s="9">
        <f>_xlfn.XLOOKUP(A46, 'MaxPayPoints Transposed'!A:A, 'MaxPayPoints Transposed'!J:J, "missing", -1)/26</f>
        <v>5609.5</v>
      </c>
    </row>
    <row r="47" spans="1:10" x14ac:dyDescent="0.35">
      <c r="A47" s="7">
        <v>44469</v>
      </c>
      <c r="B47" s="20">
        <f>_xlfn.XLOOKUP(A47, CPI!A:A, CPI!B:B, "missing",-1,1)/6.5</f>
        <v>0.12307692307692308</v>
      </c>
      <c r="C47" s="21">
        <f>_xlfn.XLOOKUP(A47, SLCI!A:A, SLCI!B:B, "missing", -1)/6.5</f>
        <v>9.2307692307692299E-2</v>
      </c>
      <c r="D47" s="9">
        <f>_xlfn.XLOOKUP(A47, 'MaxPayPoints Transposed'!A:A, 'MaxPayPoints Transposed'!D:D, "missing", -1)/26</f>
        <v>2466</v>
      </c>
      <c r="E47" s="9">
        <f>_xlfn.XLOOKUP(A47, 'MaxPayPoints Transposed'!A:A, 'MaxPayPoints Transposed'!E:E, "missing", -1)/26</f>
        <v>2767.6538461538462</v>
      </c>
      <c r="F47" s="9">
        <f>_xlfn.XLOOKUP(A47, 'MaxPayPoints Transposed'!A:A, 'MaxPayPoints Transposed'!F:F, "missing", -1)/26</f>
        <v>3066.3461538461538</v>
      </c>
      <c r="G47" s="9">
        <f>_xlfn.XLOOKUP(A47, 'MaxPayPoints Transposed'!A:A, 'MaxPayPoints Transposed'!G:G, "missing", -1)/26</f>
        <v>3527.4230769230771</v>
      </c>
      <c r="H47" s="9">
        <f>_xlfn.XLOOKUP(A47, 'MaxPayPoints Transposed'!A:A, 'MaxPayPoints Transposed'!H:H, "missing", -1)/26</f>
        <v>4254.7307692307695</v>
      </c>
      <c r="I47" s="9">
        <f>_xlfn.XLOOKUP(A47, 'MaxPayPoints Transposed'!A:A, 'MaxPayPoints Transposed'!I:I, "missing", -1)/26</f>
        <v>5161.8461538461543</v>
      </c>
      <c r="J47" s="9">
        <f>_xlfn.XLOOKUP(A47, 'MaxPayPoints Transposed'!A:A, 'MaxPayPoints Transposed'!J:J, "missing", -1)/26</f>
        <v>5609.5</v>
      </c>
    </row>
    <row r="48" spans="1:10" x14ac:dyDescent="0.35">
      <c r="A48" s="7">
        <v>44483</v>
      </c>
      <c r="B48" s="20">
        <f>_xlfn.XLOOKUP(A48, CPI!A:A, CPI!B:B, "missing",-1,1)/6.5</f>
        <v>0.12307692307692308</v>
      </c>
      <c r="C48" s="21">
        <f>_xlfn.XLOOKUP(A48, SLCI!A:A, SLCI!B:B, "missing", -1)/6.5</f>
        <v>9.2307692307692299E-2</v>
      </c>
      <c r="D48" s="9">
        <f>_xlfn.XLOOKUP(A48, 'MaxPayPoints Transposed'!A:A, 'MaxPayPoints Transposed'!D:D, "missing", -1)/26</f>
        <v>2466</v>
      </c>
      <c r="E48" s="9">
        <f>_xlfn.XLOOKUP(A48, 'MaxPayPoints Transposed'!A:A, 'MaxPayPoints Transposed'!E:E, "missing", -1)/26</f>
        <v>2767.6538461538462</v>
      </c>
      <c r="F48" s="9">
        <f>_xlfn.XLOOKUP(A48, 'MaxPayPoints Transposed'!A:A, 'MaxPayPoints Transposed'!F:F, "missing", -1)/26</f>
        <v>3066.3461538461538</v>
      </c>
      <c r="G48" s="9">
        <f>_xlfn.XLOOKUP(A48, 'MaxPayPoints Transposed'!A:A, 'MaxPayPoints Transposed'!G:G, "missing", -1)/26</f>
        <v>3527.4230769230771</v>
      </c>
      <c r="H48" s="9">
        <f>_xlfn.XLOOKUP(A48, 'MaxPayPoints Transposed'!A:A, 'MaxPayPoints Transposed'!H:H, "missing", -1)/26</f>
        <v>4254.7307692307695</v>
      </c>
      <c r="I48" s="9">
        <f>_xlfn.XLOOKUP(A48, 'MaxPayPoints Transposed'!A:A, 'MaxPayPoints Transposed'!I:I, "missing", -1)/26</f>
        <v>5161.8461538461543</v>
      </c>
      <c r="J48" s="9">
        <f>_xlfn.XLOOKUP(A48, 'MaxPayPoints Transposed'!A:A, 'MaxPayPoints Transposed'!J:J, "missing", -1)/26</f>
        <v>5609.5</v>
      </c>
    </row>
    <row r="49" spans="1:10" x14ac:dyDescent="0.35">
      <c r="A49" s="7">
        <v>44497</v>
      </c>
      <c r="B49" s="20">
        <f>_xlfn.XLOOKUP(A49, CPI!A:A, CPI!B:B, "missing",-1,1)/6.5</f>
        <v>0.12307692307692308</v>
      </c>
      <c r="C49" s="21">
        <f>_xlfn.XLOOKUP(A49, SLCI!A:A, SLCI!B:B, "missing", -1)/6.5</f>
        <v>9.2307692307692299E-2</v>
      </c>
      <c r="D49" s="9">
        <f>_xlfn.XLOOKUP(A49, 'MaxPayPoints Transposed'!A:A, 'MaxPayPoints Transposed'!D:D, "missing", -1)/26</f>
        <v>2466</v>
      </c>
      <c r="E49" s="9">
        <f>_xlfn.XLOOKUP(A49, 'MaxPayPoints Transposed'!A:A, 'MaxPayPoints Transposed'!E:E, "missing", -1)/26</f>
        <v>2767.6538461538462</v>
      </c>
      <c r="F49" s="9">
        <f>_xlfn.XLOOKUP(A49, 'MaxPayPoints Transposed'!A:A, 'MaxPayPoints Transposed'!F:F, "missing", -1)/26</f>
        <v>3066.3461538461538</v>
      </c>
      <c r="G49" s="9">
        <f>_xlfn.XLOOKUP(A49, 'MaxPayPoints Transposed'!A:A, 'MaxPayPoints Transposed'!G:G, "missing", -1)/26</f>
        <v>3527.4230769230771</v>
      </c>
      <c r="H49" s="9">
        <f>_xlfn.XLOOKUP(A49, 'MaxPayPoints Transposed'!A:A, 'MaxPayPoints Transposed'!H:H, "missing", -1)/26</f>
        <v>4254.7307692307695</v>
      </c>
      <c r="I49" s="9">
        <f>_xlfn.XLOOKUP(A49, 'MaxPayPoints Transposed'!A:A, 'MaxPayPoints Transposed'!I:I, "missing", -1)/26</f>
        <v>5161.8461538461543</v>
      </c>
      <c r="J49" s="9">
        <f>_xlfn.XLOOKUP(A49, 'MaxPayPoints Transposed'!A:A, 'MaxPayPoints Transposed'!J:J, "missing", -1)/26</f>
        <v>5609.5</v>
      </c>
    </row>
    <row r="50" spans="1:10" x14ac:dyDescent="0.35">
      <c r="A50" s="7">
        <v>44511</v>
      </c>
      <c r="B50" s="20">
        <f>_xlfn.XLOOKUP(A50, CPI!A:A, CPI!B:B, "missing",-1,1)/6.5</f>
        <v>0.12307692307692308</v>
      </c>
      <c r="C50" s="21">
        <f>_xlfn.XLOOKUP(A50, SLCI!A:A, SLCI!B:B, "missing", -1)/6.5</f>
        <v>9.2307692307692299E-2</v>
      </c>
      <c r="D50" s="9">
        <f>_xlfn.XLOOKUP(A50, 'MaxPayPoints Transposed'!A:A, 'MaxPayPoints Transposed'!D:D, "missing", -1)/26</f>
        <v>2466</v>
      </c>
      <c r="E50" s="9">
        <f>_xlfn.XLOOKUP(A50, 'MaxPayPoints Transposed'!A:A, 'MaxPayPoints Transposed'!E:E, "missing", -1)/26</f>
        <v>2767.6538461538462</v>
      </c>
      <c r="F50" s="9">
        <f>_xlfn.XLOOKUP(A50, 'MaxPayPoints Transposed'!A:A, 'MaxPayPoints Transposed'!F:F, "missing", -1)/26</f>
        <v>3066.3461538461538</v>
      </c>
      <c r="G50" s="9">
        <f>_xlfn.XLOOKUP(A50, 'MaxPayPoints Transposed'!A:A, 'MaxPayPoints Transposed'!G:G, "missing", -1)/26</f>
        <v>3527.4230769230771</v>
      </c>
      <c r="H50" s="9">
        <f>_xlfn.XLOOKUP(A50, 'MaxPayPoints Transposed'!A:A, 'MaxPayPoints Transposed'!H:H, "missing", -1)/26</f>
        <v>4254.7307692307695</v>
      </c>
      <c r="I50" s="9">
        <f>_xlfn.XLOOKUP(A50, 'MaxPayPoints Transposed'!A:A, 'MaxPayPoints Transposed'!I:I, "missing", -1)/26</f>
        <v>5161.8461538461543</v>
      </c>
      <c r="J50" s="9">
        <f>_xlfn.XLOOKUP(A50, 'MaxPayPoints Transposed'!A:A, 'MaxPayPoints Transposed'!J:J, "missing", -1)/26</f>
        <v>5609.5</v>
      </c>
    </row>
    <row r="51" spans="1:10" x14ac:dyDescent="0.35">
      <c r="A51" s="7">
        <v>44525</v>
      </c>
      <c r="B51" s="20">
        <f>_xlfn.XLOOKUP(A51, CPI!A:A, CPI!B:B, "missing",-1,1)/6.5</f>
        <v>0.12307692307692308</v>
      </c>
      <c r="C51" s="21">
        <f>_xlfn.XLOOKUP(A51, SLCI!A:A, SLCI!B:B, "missing", -1)/6.5</f>
        <v>9.2307692307692299E-2</v>
      </c>
      <c r="D51" s="9">
        <f>_xlfn.XLOOKUP(A51, 'MaxPayPoints Transposed'!A:A, 'MaxPayPoints Transposed'!D:D, "missing", -1)/26</f>
        <v>2466</v>
      </c>
      <c r="E51" s="9">
        <f>_xlfn.XLOOKUP(A51, 'MaxPayPoints Transposed'!A:A, 'MaxPayPoints Transposed'!E:E, "missing", -1)/26</f>
        <v>2767.6538461538462</v>
      </c>
      <c r="F51" s="9">
        <f>_xlfn.XLOOKUP(A51, 'MaxPayPoints Transposed'!A:A, 'MaxPayPoints Transposed'!F:F, "missing", -1)/26</f>
        <v>3066.3461538461538</v>
      </c>
      <c r="G51" s="9">
        <f>_xlfn.XLOOKUP(A51, 'MaxPayPoints Transposed'!A:A, 'MaxPayPoints Transposed'!G:G, "missing", -1)/26</f>
        <v>3527.4230769230771</v>
      </c>
      <c r="H51" s="9">
        <f>_xlfn.XLOOKUP(A51, 'MaxPayPoints Transposed'!A:A, 'MaxPayPoints Transposed'!H:H, "missing", -1)/26</f>
        <v>4254.7307692307695</v>
      </c>
      <c r="I51" s="9">
        <f>_xlfn.XLOOKUP(A51, 'MaxPayPoints Transposed'!A:A, 'MaxPayPoints Transposed'!I:I, "missing", -1)/26</f>
        <v>5161.8461538461543</v>
      </c>
      <c r="J51" s="9">
        <f>_xlfn.XLOOKUP(A51, 'MaxPayPoints Transposed'!A:A, 'MaxPayPoints Transposed'!J:J, "missing", -1)/26</f>
        <v>5609.5</v>
      </c>
    </row>
    <row r="52" spans="1:10" x14ac:dyDescent="0.35">
      <c r="A52" s="7">
        <v>44539</v>
      </c>
      <c r="B52" s="20">
        <f>_xlfn.XLOOKUP(A52, CPI!A:A, CPI!B:B, "missing",-1,1)/6.5</f>
        <v>0.2</v>
      </c>
      <c r="C52" s="21">
        <f>_xlfn.XLOOKUP(A52, SLCI!A:A, SLCI!B:B, "missing", -1)/6.5</f>
        <v>0.12307692307692308</v>
      </c>
      <c r="D52" s="9">
        <f>_xlfn.XLOOKUP(A52, 'MaxPayPoints Transposed'!A:A, 'MaxPayPoints Transposed'!D:D, "missing", -1)/26</f>
        <v>2466</v>
      </c>
      <c r="E52" s="9">
        <f>_xlfn.XLOOKUP(A52, 'MaxPayPoints Transposed'!A:A, 'MaxPayPoints Transposed'!E:E, "missing", -1)/26</f>
        <v>2767.6538461538462</v>
      </c>
      <c r="F52" s="9">
        <f>_xlfn.XLOOKUP(A52, 'MaxPayPoints Transposed'!A:A, 'MaxPayPoints Transposed'!F:F, "missing", -1)/26</f>
        <v>3066.3461538461538</v>
      </c>
      <c r="G52" s="9">
        <f>_xlfn.XLOOKUP(A52, 'MaxPayPoints Transposed'!A:A, 'MaxPayPoints Transposed'!G:G, "missing", -1)/26</f>
        <v>3527.4230769230771</v>
      </c>
      <c r="H52" s="9">
        <f>_xlfn.XLOOKUP(A52, 'MaxPayPoints Transposed'!A:A, 'MaxPayPoints Transposed'!H:H, "missing", -1)/26</f>
        <v>4254.7307692307695</v>
      </c>
      <c r="I52" s="9">
        <f>_xlfn.XLOOKUP(A52, 'MaxPayPoints Transposed'!A:A, 'MaxPayPoints Transposed'!I:I, "missing", -1)/26</f>
        <v>5161.8461538461543</v>
      </c>
      <c r="J52" s="9">
        <f>_xlfn.XLOOKUP(A52, 'MaxPayPoints Transposed'!A:A, 'MaxPayPoints Transposed'!J:J, "missing", -1)/26</f>
        <v>5609.5</v>
      </c>
    </row>
    <row r="53" spans="1:10" x14ac:dyDescent="0.35">
      <c r="A53" s="7">
        <v>44553</v>
      </c>
      <c r="B53" s="20">
        <f>_xlfn.XLOOKUP(A53, CPI!A:A, CPI!B:B, "missing",-1,1)/6.5</f>
        <v>0.2</v>
      </c>
      <c r="C53" s="21">
        <f>_xlfn.XLOOKUP(A53, SLCI!A:A, SLCI!B:B, "missing", -1)/6.5</f>
        <v>0.12307692307692308</v>
      </c>
      <c r="D53" s="9">
        <f>_xlfn.XLOOKUP(A53, 'MaxPayPoints Transposed'!A:A, 'MaxPayPoints Transposed'!D:D, "missing", -1)/26</f>
        <v>2466</v>
      </c>
      <c r="E53" s="9">
        <f>_xlfn.XLOOKUP(A53, 'MaxPayPoints Transposed'!A:A, 'MaxPayPoints Transposed'!E:E, "missing", -1)/26</f>
        <v>2767.6538461538462</v>
      </c>
      <c r="F53" s="9">
        <f>_xlfn.XLOOKUP(A53, 'MaxPayPoints Transposed'!A:A, 'MaxPayPoints Transposed'!F:F, "missing", -1)/26</f>
        <v>3066.3461538461538</v>
      </c>
      <c r="G53" s="9">
        <f>_xlfn.XLOOKUP(A53, 'MaxPayPoints Transposed'!A:A, 'MaxPayPoints Transposed'!G:G, "missing", -1)/26</f>
        <v>3527.4230769230771</v>
      </c>
      <c r="H53" s="9">
        <f>_xlfn.XLOOKUP(A53, 'MaxPayPoints Transposed'!A:A, 'MaxPayPoints Transposed'!H:H, "missing", -1)/26</f>
        <v>4254.7307692307695</v>
      </c>
      <c r="I53" s="9">
        <f>_xlfn.XLOOKUP(A53, 'MaxPayPoints Transposed'!A:A, 'MaxPayPoints Transposed'!I:I, "missing", -1)/26</f>
        <v>5161.8461538461543</v>
      </c>
      <c r="J53" s="9">
        <f>_xlfn.XLOOKUP(A53, 'MaxPayPoints Transposed'!A:A, 'MaxPayPoints Transposed'!J:J, "missing", -1)/26</f>
        <v>5609.5</v>
      </c>
    </row>
    <row r="54" spans="1:10" x14ac:dyDescent="0.35">
      <c r="A54" s="7">
        <v>44567</v>
      </c>
      <c r="B54" s="20">
        <f>_xlfn.XLOOKUP(A54, CPI!A:A, CPI!B:B, "missing",-1,1)/6.5</f>
        <v>0.2</v>
      </c>
      <c r="C54" s="21">
        <f>_xlfn.XLOOKUP(A54, SLCI!A:A, SLCI!B:B, "missing", -1)/6.5</f>
        <v>0.12307692307692308</v>
      </c>
      <c r="D54" s="9">
        <f>_xlfn.XLOOKUP(A54, 'MaxPayPoints Transposed'!A:A, 'MaxPayPoints Transposed'!D:D, "missing", -1)/26</f>
        <v>2466</v>
      </c>
      <c r="E54" s="9">
        <f>_xlfn.XLOOKUP(A54, 'MaxPayPoints Transposed'!A:A, 'MaxPayPoints Transposed'!E:E, "missing", -1)/26</f>
        <v>2767.6538461538462</v>
      </c>
      <c r="F54" s="9">
        <f>_xlfn.XLOOKUP(A54, 'MaxPayPoints Transposed'!A:A, 'MaxPayPoints Transposed'!F:F, "missing", -1)/26</f>
        <v>3066.3461538461538</v>
      </c>
      <c r="G54" s="9">
        <f>_xlfn.XLOOKUP(A54, 'MaxPayPoints Transposed'!A:A, 'MaxPayPoints Transposed'!G:G, "missing", -1)/26</f>
        <v>3527.4230769230771</v>
      </c>
      <c r="H54" s="9">
        <f>_xlfn.XLOOKUP(A54, 'MaxPayPoints Transposed'!A:A, 'MaxPayPoints Transposed'!H:H, "missing", -1)/26</f>
        <v>4254.7307692307695</v>
      </c>
      <c r="I54" s="9">
        <f>_xlfn.XLOOKUP(A54, 'MaxPayPoints Transposed'!A:A, 'MaxPayPoints Transposed'!I:I, "missing", -1)/26</f>
        <v>5161.8461538461543</v>
      </c>
      <c r="J54" s="9">
        <f>_xlfn.XLOOKUP(A54, 'MaxPayPoints Transposed'!A:A, 'MaxPayPoints Transposed'!J:J, "missing", -1)/26</f>
        <v>5609.5</v>
      </c>
    </row>
    <row r="55" spans="1:10" x14ac:dyDescent="0.35">
      <c r="A55" s="7">
        <v>44581</v>
      </c>
      <c r="B55" s="20">
        <f>_xlfn.XLOOKUP(A55, CPI!A:A, CPI!B:B, "missing",-1,1)/6.5</f>
        <v>0.2</v>
      </c>
      <c r="C55" s="21">
        <f>_xlfn.XLOOKUP(A55, SLCI!A:A, SLCI!B:B, "missing", -1)/6.5</f>
        <v>0.12307692307692308</v>
      </c>
      <c r="D55" s="9">
        <f>_xlfn.XLOOKUP(A55, 'MaxPayPoints Transposed'!A:A, 'MaxPayPoints Transposed'!D:D, "missing", -1)/26</f>
        <v>2466</v>
      </c>
      <c r="E55" s="9">
        <f>_xlfn.XLOOKUP(A55, 'MaxPayPoints Transposed'!A:A, 'MaxPayPoints Transposed'!E:E, "missing", -1)/26</f>
        <v>2767.6538461538462</v>
      </c>
      <c r="F55" s="9">
        <f>_xlfn.XLOOKUP(A55, 'MaxPayPoints Transposed'!A:A, 'MaxPayPoints Transposed'!F:F, "missing", -1)/26</f>
        <v>3066.3461538461538</v>
      </c>
      <c r="G55" s="9">
        <f>_xlfn.XLOOKUP(A55, 'MaxPayPoints Transposed'!A:A, 'MaxPayPoints Transposed'!G:G, "missing", -1)/26</f>
        <v>3527.4230769230771</v>
      </c>
      <c r="H55" s="9">
        <f>_xlfn.XLOOKUP(A55, 'MaxPayPoints Transposed'!A:A, 'MaxPayPoints Transposed'!H:H, "missing", -1)/26</f>
        <v>4254.7307692307695</v>
      </c>
      <c r="I55" s="9">
        <f>_xlfn.XLOOKUP(A55, 'MaxPayPoints Transposed'!A:A, 'MaxPayPoints Transposed'!I:I, "missing", -1)/26</f>
        <v>5161.8461538461543</v>
      </c>
      <c r="J55" s="9">
        <f>_xlfn.XLOOKUP(A55, 'MaxPayPoints Transposed'!A:A, 'MaxPayPoints Transposed'!J:J, "missing", -1)/26</f>
        <v>5609.5</v>
      </c>
    </row>
    <row r="56" spans="1:10" x14ac:dyDescent="0.35">
      <c r="A56" s="7">
        <v>44595</v>
      </c>
      <c r="B56" s="20">
        <f>_xlfn.XLOOKUP(A56, CPI!A:A, CPI!B:B, "missing",-1,1)/6.5</f>
        <v>0.2</v>
      </c>
      <c r="C56" s="21">
        <f>_xlfn.XLOOKUP(A56, SLCI!A:A, SLCI!B:B, "missing", -1)/6.5</f>
        <v>0.12307692307692308</v>
      </c>
      <c r="D56" s="9">
        <f>_xlfn.XLOOKUP(A56, 'MaxPayPoints Transposed'!A:A, 'MaxPayPoints Transposed'!D:D, "missing", -1)/26</f>
        <v>2466</v>
      </c>
      <c r="E56" s="9">
        <f>_xlfn.XLOOKUP(A56, 'MaxPayPoints Transposed'!A:A, 'MaxPayPoints Transposed'!E:E, "missing", -1)/26</f>
        <v>2767.6538461538462</v>
      </c>
      <c r="F56" s="9">
        <f>_xlfn.XLOOKUP(A56, 'MaxPayPoints Transposed'!A:A, 'MaxPayPoints Transposed'!F:F, "missing", -1)/26</f>
        <v>3066.3461538461538</v>
      </c>
      <c r="G56" s="9">
        <f>_xlfn.XLOOKUP(A56, 'MaxPayPoints Transposed'!A:A, 'MaxPayPoints Transposed'!G:G, "missing", -1)/26</f>
        <v>3527.4230769230771</v>
      </c>
      <c r="H56" s="9">
        <f>_xlfn.XLOOKUP(A56, 'MaxPayPoints Transposed'!A:A, 'MaxPayPoints Transposed'!H:H, "missing", -1)/26</f>
        <v>4254.7307692307695</v>
      </c>
      <c r="I56" s="9">
        <f>_xlfn.XLOOKUP(A56, 'MaxPayPoints Transposed'!A:A, 'MaxPayPoints Transposed'!I:I, "missing", -1)/26</f>
        <v>5161.8461538461543</v>
      </c>
      <c r="J56" s="9">
        <f>_xlfn.XLOOKUP(A56, 'MaxPayPoints Transposed'!A:A, 'MaxPayPoints Transposed'!J:J, "missing", -1)/26</f>
        <v>5609.5</v>
      </c>
    </row>
    <row r="57" spans="1:10" x14ac:dyDescent="0.35">
      <c r="A57" s="7">
        <v>44609</v>
      </c>
      <c r="B57" s="20">
        <f>_xlfn.XLOOKUP(A57, CPI!A:A, CPI!B:B, "missing",-1,1)/6.5</f>
        <v>0.2</v>
      </c>
      <c r="C57" s="21">
        <f>_xlfn.XLOOKUP(A57, SLCI!A:A, SLCI!B:B, "missing", -1)/6.5</f>
        <v>0.12307692307692308</v>
      </c>
      <c r="D57" s="9">
        <f>_xlfn.XLOOKUP(A57, 'MaxPayPoints Transposed'!A:A, 'MaxPayPoints Transposed'!D:D, "missing", -1)/26</f>
        <v>2466</v>
      </c>
      <c r="E57" s="9">
        <f>_xlfn.XLOOKUP(A57, 'MaxPayPoints Transposed'!A:A, 'MaxPayPoints Transposed'!E:E, "missing", -1)/26</f>
        <v>2767.6538461538462</v>
      </c>
      <c r="F57" s="9">
        <f>_xlfn.XLOOKUP(A57, 'MaxPayPoints Transposed'!A:A, 'MaxPayPoints Transposed'!F:F, "missing", -1)/26</f>
        <v>3066.3461538461538</v>
      </c>
      <c r="G57" s="9">
        <f>_xlfn.XLOOKUP(A57, 'MaxPayPoints Transposed'!A:A, 'MaxPayPoints Transposed'!G:G, "missing", -1)/26</f>
        <v>3527.4230769230771</v>
      </c>
      <c r="H57" s="9">
        <f>_xlfn.XLOOKUP(A57, 'MaxPayPoints Transposed'!A:A, 'MaxPayPoints Transposed'!H:H, "missing", -1)/26</f>
        <v>4254.7307692307695</v>
      </c>
      <c r="I57" s="9">
        <f>_xlfn.XLOOKUP(A57, 'MaxPayPoints Transposed'!A:A, 'MaxPayPoints Transposed'!I:I, "missing", -1)/26</f>
        <v>5161.8461538461543</v>
      </c>
      <c r="J57" s="9">
        <f>_xlfn.XLOOKUP(A57, 'MaxPayPoints Transposed'!A:A, 'MaxPayPoints Transposed'!J:J, "missing", -1)/26</f>
        <v>5609.5</v>
      </c>
    </row>
    <row r="58" spans="1:10" x14ac:dyDescent="0.35">
      <c r="A58" s="7">
        <v>44623</v>
      </c>
      <c r="B58" s="20">
        <f>_xlfn.XLOOKUP(A58, CPI!A:A, CPI!B:B, "missing",-1,1)/6.5</f>
        <v>0.33846153846153848</v>
      </c>
      <c r="C58" s="21">
        <f>_xlfn.XLOOKUP(A58, SLCI!A:A, SLCI!B:B, "missing", -1)/6.5</f>
        <v>0.26153846153846155</v>
      </c>
      <c r="D58" s="9">
        <f>_xlfn.XLOOKUP(A58, 'MaxPayPoints Transposed'!A:A, 'MaxPayPoints Transposed'!D:D, "missing", -1)/26</f>
        <v>2466</v>
      </c>
      <c r="E58" s="9">
        <f>_xlfn.XLOOKUP(A58, 'MaxPayPoints Transposed'!A:A, 'MaxPayPoints Transposed'!E:E, "missing", -1)/26</f>
        <v>2767.6538461538462</v>
      </c>
      <c r="F58" s="9">
        <f>_xlfn.XLOOKUP(A58, 'MaxPayPoints Transposed'!A:A, 'MaxPayPoints Transposed'!F:F, "missing", -1)/26</f>
        <v>3066.3461538461538</v>
      </c>
      <c r="G58" s="9">
        <f>_xlfn.XLOOKUP(A58, 'MaxPayPoints Transposed'!A:A, 'MaxPayPoints Transposed'!G:G, "missing", -1)/26</f>
        <v>3527.4230769230771</v>
      </c>
      <c r="H58" s="9">
        <f>_xlfn.XLOOKUP(A58, 'MaxPayPoints Transposed'!A:A, 'MaxPayPoints Transposed'!H:H, "missing", -1)/26</f>
        <v>4254.7307692307695</v>
      </c>
      <c r="I58" s="9">
        <f>_xlfn.XLOOKUP(A58, 'MaxPayPoints Transposed'!A:A, 'MaxPayPoints Transposed'!I:I, "missing", -1)/26</f>
        <v>5161.8461538461543</v>
      </c>
      <c r="J58" s="9">
        <f>_xlfn.XLOOKUP(A58, 'MaxPayPoints Transposed'!A:A, 'MaxPayPoints Transposed'!J:J, "missing", -1)/26</f>
        <v>5609.5</v>
      </c>
    </row>
    <row r="59" spans="1:10" x14ac:dyDescent="0.35">
      <c r="A59" s="7">
        <v>44637</v>
      </c>
      <c r="B59" s="20">
        <f>_xlfn.XLOOKUP(A59, CPI!A:A, CPI!B:B, "missing",-1,1)/6.5</f>
        <v>0.33846153846153848</v>
      </c>
      <c r="C59" s="21">
        <f>_xlfn.XLOOKUP(A59, SLCI!A:A, SLCI!B:B, "missing", -1)/6.5</f>
        <v>0.26153846153846155</v>
      </c>
      <c r="D59" s="9">
        <f>_xlfn.XLOOKUP(A59, 'MaxPayPoints Transposed'!A:A, 'MaxPayPoints Transposed'!D:D, "missing", -1)/26</f>
        <v>2466</v>
      </c>
      <c r="E59" s="9">
        <f>_xlfn.XLOOKUP(A59, 'MaxPayPoints Transposed'!A:A, 'MaxPayPoints Transposed'!E:E, "missing", -1)/26</f>
        <v>2767.6538461538462</v>
      </c>
      <c r="F59" s="9">
        <f>_xlfn.XLOOKUP(A59, 'MaxPayPoints Transposed'!A:A, 'MaxPayPoints Transposed'!F:F, "missing", -1)/26</f>
        <v>3066.3461538461538</v>
      </c>
      <c r="G59" s="9">
        <f>_xlfn.XLOOKUP(A59, 'MaxPayPoints Transposed'!A:A, 'MaxPayPoints Transposed'!G:G, "missing", -1)/26</f>
        <v>3527.4230769230771</v>
      </c>
      <c r="H59" s="9">
        <f>_xlfn.XLOOKUP(A59, 'MaxPayPoints Transposed'!A:A, 'MaxPayPoints Transposed'!H:H, "missing", -1)/26</f>
        <v>4254.7307692307695</v>
      </c>
      <c r="I59" s="9">
        <f>_xlfn.XLOOKUP(A59, 'MaxPayPoints Transposed'!A:A, 'MaxPayPoints Transposed'!I:I, "missing", -1)/26</f>
        <v>5161.8461538461543</v>
      </c>
      <c r="J59" s="9">
        <f>_xlfn.XLOOKUP(A59, 'MaxPayPoints Transposed'!A:A, 'MaxPayPoints Transposed'!J:J, "missing", -1)/26</f>
        <v>5609.5</v>
      </c>
    </row>
    <row r="60" spans="1:10" x14ac:dyDescent="0.35">
      <c r="A60" s="7">
        <v>44651</v>
      </c>
      <c r="B60" s="20">
        <f>_xlfn.XLOOKUP(A60, CPI!A:A, CPI!B:B, "missing",-1,1)/6.5</f>
        <v>0.33846153846153848</v>
      </c>
      <c r="C60" s="21">
        <f>_xlfn.XLOOKUP(A60, SLCI!A:A, SLCI!B:B, "missing", -1)/6.5</f>
        <v>0.26153846153846155</v>
      </c>
      <c r="D60" s="9">
        <f>_xlfn.XLOOKUP(A60, 'MaxPayPoints Transposed'!A:A, 'MaxPayPoints Transposed'!D:D, "missing", -1)/26</f>
        <v>2466</v>
      </c>
      <c r="E60" s="9">
        <f>_xlfn.XLOOKUP(A60, 'MaxPayPoints Transposed'!A:A, 'MaxPayPoints Transposed'!E:E, "missing", -1)/26</f>
        <v>2767.6538461538462</v>
      </c>
      <c r="F60" s="9">
        <f>_xlfn.XLOOKUP(A60, 'MaxPayPoints Transposed'!A:A, 'MaxPayPoints Transposed'!F:F, "missing", -1)/26</f>
        <v>3066.3461538461538</v>
      </c>
      <c r="G60" s="9">
        <f>_xlfn.XLOOKUP(A60, 'MaxPayPoints Transposed'!A:A, 'MaxPayPoints Transposed'!G:G, "missing", -1)/26</f>
        <v>3527.4230769230771</v>
      </c>
      <c r="H60" s="9">
        <f>_xlfn.XLOOKUP(A60, 'MaxPayPoints Transposed'!A:A, 'MaxPayPoints Transposed'!H:H, "missing", -1)/26</f>
        <v>4254.7307692307695</v>
      </c>
      <c r="I60" s="9">
        <f>_xlfn.XLOOKUP(A60, 'MaxPayPoints Transposed'!A:A, 'MaxPayPoints Transposed'!I:I, "missing", -1)/26</f>
        <v>5161.8461538461543</v>
      </c>
      <c r="J60" s="9">
        <f>_xlfn.XLOOKUP(A60, 'MaxPayPoints Transposed'!A:A, 'MaxPayPoints Transposed'!J:J, "missing", -1)/26</f>
        <v>5609.5</v>
      </c>
    </row>
    <row r="61" spans="1:10" x14ac:dyDescent="0.35">
      <c r="A61" s="7">
        <v>44665</v>
      </c>
      <c r="B61" s="20">
        <f>_xlfn.XLOOKUP(A61, CPI!A:A, CPI!B:B, "missing",-1,1)/6.5</f>
        <v>0.33846153846153848</v>
      </c>
      <c r="C61" s="21">
        <f>_xlfn.XLOOKUP(A61, SLCI!A:A, SLCI!B:B, "missing", -1)/6.5</f>
        <v>0.26153846153846155</v>
      </c>
      <c r="D61" s="9">
        <f>_xlfn.XLOOKUP(A61, 'MaxPayPoints Transposed'!A:A, 'MaxPayPoints Transposed'!D:D, "missing", -1)/26</f>
        <v>2466</v>
      </c>
      <c r="E61" s="9">
        <f>_xlfn.XLOOKUP(A61, 'MaxPayPoints Transposed'!A:A, 'MaxPayPoints Transposed'!E:E, "missing", -1)/26</f>
        <v>2767.6538461538462</v>
      </c>
      <c r="F61" s="9">
        <f>_xlfn.XLOOKUP(A61, 'MaxPayPoints Transposed'!A:A, 'MaxPayPoints Transposed'!F:F, "missing", -1)/26</f>
        <v>3066.3461538461538</v>
      </c>
      <c r="G61" s="9">
        <f>_xlfn.XLOOKUP(A61, 'MaxPayPoints Transposed'!A:A, 'MaxPayPoints Transposed'!G:G, "missing", -1)/26</f>
        <v>3527.4230769230771</v>
      </c>
      <c r="H61" s="9">
        <f>_xlfn.XLOOKUP(A61, 'MaxPayPoints Transposed'!A:A, 'MaxPayPoints Transposed'!H:H, "missing", -1)/26</f>
        <v>4254.7307692307695</v>
      </c>
      <c r="I61" s="9">
        <f>_xlfn.XLOOKUP(A61, 'MaxPayPoints Transposed'!A:A, 'MaxPayPoints Transposed'!I:I, "missing", -1)/26</f>
        <v>5161.8461538461543</v>
      </c>
      <c r="J61" s="9">
        <f>_xlfn.XLOOKUP(A61, 'MaxPayPoints Transposed'!A:A, 'MaxPayPoints Transposed'!J:J, "missing", -1)/26</f>
        <v>5609.5</v>
      </c>
    </row>
    <row r="62" spans="1:10" x14ac:dyDescent="0.35">
      <c r="A62" s="7">
        <v>44679</v>
      </c>
      <c r="B62" s="20">
        <f>_xlfn.XLOOKUP(A62, CPI!A:A, CPI!B:B, "missing",-1,1)/6.5</f>
        <v>0.33846153846153848</v>
      </c>
      <c r="C62" s="21">
        <f>_xlfn.XLOOKUP(A62, SLCI!A:A, SLCI!B:B, "missing", -1)/6.5</f>
        <v>0.26153846153846155</v>
      </c>
      <c r="D62" s="9">
        <f>_xlfn.XLOOKUP(A62, 'MaxPayPoints Transposed'!A:A, 'MaxPayPoints Transposed'!D:D, "missing", -1)/26</f>
        <v>2466</v>
      </c>
      <c r="E62" s="9">
        <f>_xlfn.XLOOKUP(A62, 'MaxPayPoints Transposed'!A:A, 'MaxPayPoints Transposed'!E:E, "missing", -1)/26</f>
        <v>2767.6538461538462</v>
      </c>
      <c r="F62" s="9">
        <f>_xlfn.XLOOKUP(A62, 'MaxPayPoints Transposed'!A:A, 'MaxPayPoints Transposed'!F:F, "missing", -1)/26</f>
        <v>3066.3461538461538</v>
      </c>
      <c r="G62" s="9">
        <f>_xlfn.XLOOKUP(A62, 'MaxPayPoints Transposed'!A:A, 'MaxPayPoints Transposed'!G:G, "missing", -1)/26</f>
        <v>3527.4230769230771</v>
      </c>
      <c r="H62" s="9">
        <f>_xlfn.XLOOKUP(A62, 'MaxPayPoints Transposed'!A:A, 'MaxPayPoints Transposed'!H:H, "missing", -1)/26</f>
        <v>4254.7307692307695</v>
      </c>
      <c r="I62" s="9">
        <f>_xlfn.XLOOKUP(A62, 'MaxPayPoints Transposed'!A:A, 'MaxPayPoints Transposed'!I:I, "missing", -1)/26</f>
        <v>5161.8461538461543</v>
      </c>
      <c r="J62" s="9">
        <f>_xlfn.XLOOKUP(A62, 'MaxPayPoints Transposed'!A:A, 'MaxPayPoints Transposed'!J:J, "missing", -1)/26</f>
        <v>5609.5</v>
      </c>
    </row>
    <row r="63" spans="1:10" x14ac:dyDescent="0.35">
      <c r="A63" s="7">
        <v>44693</v>
      </c>
      <c r="B63" s="20">
        <f>_xlfn.XLOOKUP(A63, CPI!A:A, CPI!B:B, "missing",-1,1)/6.5</f>
        <v>0.33846153846153848</v>
      </c>
      <c r="C63" s="21">
        <f>_xlfn.XLOOKUP(A63, SLCI!A:A, SLCI!B:B, "missing", -1)/6.5</f>
        <v>0.26153846153846155</v>
      </c>
      <c r="D63" s="9">
        <f>_xlfn.XLOOKUP(A63, 'MaxPayPoints Transposed'!A:A, 'MaxPayPoints Transposed'!D:D, "missing", -1)/26</f>
        <v>2466</v>
      </c>
      <c r="E63" s="9">
        <f>_xlfn.XLOOKUP(A63, 'MaxPayPoints Transposed'!A:A, 'MaxPayPoints Transposed'!E:E, "missing", -1)/26</f>
        <v>2767.6538461538462</v>
      </c>
      <c r="F63" s="9">
        <f>_xlfn.XLOOKUP(A63, 'MaxPayPoints Transposed'!A:A, 'MaxPayPoints Transposed'!F:F, "missing", -1)/26</f>
        <v>3066.3461538461538</v>
      </c>
      <c r="G63" s="9">
        <f>_xlfn.XLOOKUP(A63, 'MaxPayPoints Transposed'!A:A, 'MaxPayPoints Transposed'!G:G, "missing", -1)/26</f>
        <v>3527.4230769230771</v>
      </c>
      <c r="H63" s="9">
        <f>_xlfn.XLOOKUP(A63, 'MaxPayPoints Transposed'!A:A, 'MaxPayPoints Transposed'!H:H, "missing", -1)/26</f>
        <v>4254.7307692307695</v>
      </c>
      <c r="I63" s="9">
        <f>_xlfn.XLOOKUP(A63, 'MaxPayPoints Transposed'!A:A, 'MaxPayPoints Transposed'!I:I, "missing", -1)/26</f>
        <v>5161.8461538461543</v>
      </c>
      <c r="J63" s="9">
        <f>_xlfn.XLOOKUP(A63, 'MaxPayPoints Transposed'!A:A, 'MaxPayPoints Transposed'!J:J, "missing", -1)/26</f>
        <v>5609.5</v>
      </c>
    </row>
    <row r="64" spans="1:10" x14ac:dyDescent="0.35">
      <c r="A64" s="7">
        <v>44707</v>
      </c>
      <c r="B64" s="20">
        <f>_xlfn.XLOOKUP(A64, CPI!A:A, CPI!B:B, "missing",-1,1)/6.5</f>
        <v>0.33846153846153848</v>
      </c>
      <c r="C64" s="21">
        <f>_xlfn.XLOOKUP(A64, SLCI!A:A, SLCI!B:B, "missing", -1)/6.5</f>
        <v>0.26153846153846155</v>
      </c>
      <c r="D64" s="9">
        <f>_xlfn.XLOOKUP(A64, 'MaxPayPoints Transposed'!A:A, 'MaxPayPoints Transposed'!D:D, "missing", -1)/26</f>
        <v>2466</v>
      </c>
      <c r="E64" s="9">
        <f>_xlfn.XLOOKUP(A64, 'MaxPayPoints Transposed'!A:A, 'MaxPayPoints Transposed'!E:E, "missing", -1)/26</f>
        <v>2767.6538461538462</v>
      </c>
      <c r="F64" s="9">
        <f>_xlfn.XLOOKUP(A64, 'MaxPayPoints Transposed'!A:A, 'MaxPayPoints Transposed'!F:F, "missing", -1)/26</f>
        <v>3066.3461538461538</v>
      </c>
      <c r="G64" s="9">
        <f>_xlfn.XLOOKUP(A64, 'MaxPayPoints Transposed'!A:A, 'MaxPayPoints Transposed'!G:G, "missing", -1)/26</f>
        <v>3527.4230769230771</v>
      </c>
      <c r="H64" s="9">
        <f>_xlfn.XLOOKUP(A64, 'MaxPayPoints Transposed'!A:A, 'MaxPayPoints Transposed'!H:H, "missing", -1)/26</f>
        <v>4254.7307692307695</v>
      </c>
      <c r="I64" s="9">
        <f>_xlfn.XLOOKUP(A64, 'MaxPayPoints Transposed'!A:A, 'MaxPayPoints Transposed'!I:I, "missing", -1)/26</f>
        <v>5161.8461538461543</v>
      </c>
      <c r="J64" s="9">
        <f>_xlfn.XLOOKUP(A64, 'MaxPayPoints Transposed'!A:A, 'MaxPayPoints Transposed'!J:J, "missing", -1)/26</f>
        <v>5609.5</v>
      </c>
    </row>
    <row r="65" spans="1:10" x14ac:dyDescent="0.35">
      <c r="A65" s="7">
        <v>44721</v>
      </c>
      <c r="B65" s="20">
        <f>_xlfn.XLOOKUP(A65, CPI!A:A, CPI!B:B, "missing",-1,1)/6.5</f>
        <v>0.27692307692307694</v>
      </c>
      <c r="C65" s="21">
        <f>_xlfn.XLOOKUP(A65, SLCI!A:A, SLCI!B:B, "missing", -1)/6.5</f>
        <v>0.21538461538461537</v>
      </c>
      <c r="D65" s="9">
        <f>_xlfn.XLOOKUP(A65, 'MaxPayPoints Transposed'!A:A, 'MaxPayPoints Transposed'!D:D, "missing", -1)/26</f>
        <v>2466</v>
      </c>
      <c r="E65" s="9">
        <f>_xlfn.XLOOKUP(A65, 'MaxPayPoints Transposed'!A:A, 'MaxPayPoints Transposed'!E:E, "missing", -1)/26</f>
        <v>2767.6538461538462</v>
      </c>
      <c r="F65" s="9">
        <f>_xlfn.XLOOKUP(A65, 'MaxPayPoints Transposed'!A:A, 'MaxPayPoints Transposed'!F:F, "missing", -1)/26</f>
        <v>3066.3461538461538</v>
      </c>
      <c r="G65" s="9">
        <f>_xlfn.XLOOKUP(A65, 'MaxPayPoints Transposed'!A:A, 'MaxPayPoints Transposed'!G:G, "missing", -1)/26</f>
        <v>3527.4230769230771</v>
      </c>
      <c r="H65" s="9">
        <f>_xlfn.XLOOKUP(A65, 'MaxPayPoints Transposed'!A:A, 'MaxPayPoints Transposed'!H:H, "missing", -1)/26</f>
        <v>4254.7307692307695</v>
      </c>
      <c r="I65" s="9">
        <f>_xlfn.XLOOKUP(A65, 'MaxPayPoints Transposed'!A:A, 'MaxPayPoints Transposed'!I:I, "missing", -1)/26</f>
        <v>5161.8461538461543</v>
      </c>
      <c r="J65" s="9">
        <f>_xlfn.XLOOKUP(A65, 'MaxPayPoints Transposed'!A:A, 'MaxPayPoints Transposed'!J:J, "missing", -1)/26</f>
        <v>5609.5</v>
      </c>
    </row>
    <row r="66" spans="1:10" x14ac:dyDescent="0.35">
      <c r="A66" s="7">
        <v>44735</v>
      </c>
      <c r="B66" s="20">
        <f>_xlfn.XLOOKUP(A66, CPI!A:A, CPI!B:B, "missing",-1,1)/6.5</f>
        <v>0.27692307692307694</v>
      </c>
      <c r="C66" s="21">
        <f>_xlfn.XLOOKUP(A66, SLCI!A:A, SLCI!B:B, "missing", -1)/6.5</f>
        <v>0.21538461538461537</v>
      </c>
      <c r="D66" s="9">
        <f>_xlfn.XLOOKUP(A66, 'MaxPayPoints Transposed'!A:A, 'MaxPayPoints Transposed'!D:D, "missing", -1)/26</f>
        <v>2466</v>
      </c>
      <c r="E66" s="9">
        <f>_xlfn.XLOOKUP(A66, 'MaxPayPoints Transposed'!A:A, 'MaxPayPoints Transposed'!E:E, "missing", -1)/26</f>
        <v>2767.6538461538462</v>
      </c>
      <c r="F66" s="9">
        <f>_xlfn.XLOOKUP(A66, 'MaxPayPoints Transposed'!A:A, 'MaxPayPoints Transposed'!F:F, "missing", -1)/26</f>
        <v>3066.3461538461538</v>
      </c>
      <c r="G66" s="9">
        <f>_xlfn.XLOOKUP(A66, 'MaxPayPoints Transposed'!A:A, 'MaxPayPoints Transposed'!G:G, "missing", -1)/26</f>
        <v>3527.4230769230771</v>
      </c>
      <c r="H66" s="9">
        <f>_xlfn.XLOOKUP(A66, 'MaxPayPoints Transposed'!A:A, 'MaxPayPoints Transposed'!H:H, "missing", -1)/26</f>
        <v>4254.7307692307695</v>
      </c>
      <c r="I66" s="9">
        <f>_xlfn.XLOOKUP(A66, 'MaxPayPoints Transposed'!A:A, 'MaxPayPoints Transposed'!I:I, "missing", -1)/26</f>
        <v>5161.8461538461543</v>
      </c>
      <c r="J66" s="9">
        <f>_xlfn.XLOOKUP(A66, 'MaxPayPoints Transposed'!A:A, 'MaxPayPoints Transposed'!J:J, "missing", -1)/26</f>
        <v>5609.5</v>
      </c>
    </row>
    <row r="67" spans="1:10" x14ac:dyDescent="0.35">
      <c r="A67" s="7">
        <v>44749</v>
      </c>
      <c r="B67" s="20">
        <f>_xlfn.XLOOKUP(A67, CPI!A:A, CPI!B:B, "missing",-1,1)/6.5</f>
        <v>0.27692307692307694</v>
      </c>
      <c r="C67" s="21">
        <f>_xlfn.XLOOKUP(A67, SLCI!A:A, SLCI!B:B, "missing", -1)/6.5</f>
        <v>0.21538461538461537</v>
      </c>
      <c r="D67" s="9">
        <f>_xlfn.XLOOKUP(A67, 'MaxPayPoints Transposed'!A:A, 'MaxPayPoints Transposed'!D:D, "missing", -1)/26</f>
        <v>2466</v>
      </c>
      <c r="E67" s="9">
        <f>_xlfn.XLOOKUP(A67, 'MaxPayPoints Transposed'!A:A, 'MaxPayPoints Transposed'!E:E, "missing", -1)/26</f>
        <v>2767.6538461538462</v>
      </c>
      <c r="F67" s="9">
        <f>_xlfn.XLOOKUP(A67, 'MaxPayPoints Transposed'!A:A, 'MaxPayPoints Transposed'!F:F, "missing", -1)/26</f>
        <v>3066.3461538461538</v>
      </c>
      <c r="G67" s="9">
        <f>_xlfn.XLOOKUP(A67, 'MaxPayPoints Transposed'!A:A, 'MaxPayPoints Transposed'!G:G, "missing", -1)/26</f>
        <v>3527.4230769230771</v>
      </c>
      <c r="H67" s="9">
        <f>_xlfn.XLOOKUP(A67, 'MaxPayPoints Transposed'!A:A, 'MaxPayPoints Transposed'!H:H, "missing", -1)/26</f>
        <v>4254.7307692307695</v>
      </c>
      <c r="I67" s="9">
        <f>_xlfn.XLOOKUP(A67, 'MaxPayPoints Transposed'!A:A, 'MaxPayPoints Transposed'!I:I, "missing", -1)/26</f>
        <v>5161.8461538461543</v>
      </c>
      <c r="J67" s="9">
        <f>_xlfn.XLOOKUP(A67, 'MaxPayPoints Transposed'!A:A, 'MaxPayPoints Transposed'!J:J, "missing", -1)/26</f>
        <v>5609.5</v>
      </c>
    </row>
    <row r="68" spans="1:10" x14ac:dyDescent="0.35">
      <c r="A68" s="7">
        <v>44763</v>
      </c>
      <c r="B68" s="20">
        <f>_xlfn.XLOOKUP(A68, CPI!A:A, CPI!B:B, "missing",-1,1)/6.5</f>
        <v>0.27692307692307694</v>
      </c>
      <c r="C68" s="21">
        <f>_xlfn.XLOOKUP(A68, SLCI!A:A, SLCI!B:B, "missing", -1)/6.5</f>
        <v>0.21538461538461537</v>
      </c>
      <c r="D68" s="9">
        <f>_xlfn.XLOOKUP(A68, 'MaxPayPoints Transposed'!A:A, 'MaxPayPoints Transposed'!D:D, "missing", -1)/26</f>
        <v>2466</v>
      </c>
      <c r="E68" s="9">
        <f>_xlfn.XLOOKUP(A68, 'MaxPayPoints Transposed'!A:A, 'MaxPayPoints Transposed'!E:E, "missing", -1)/26</f>
        <v>2767.6538461538462</v>
      </c>
      <c r="F68" s="9">
        <f>_xlfn.XLOOKUP(A68, 'MaxPayPoints Transposed'!A:A, 'MaxPayPoints Transposed'!F:F, "missing", -1)/26</f>
        <v>3066.3461538461538</v>
      </c>
      <c r="G68" s="9">
        <f>_xlfn.XLOOKUP(A68, 'MaxPayPoints Transposed'!A:A, 'MaxPayPoints Transposed'!G:G, "missing", -1)/26</f>
        <v>3527.4230769230771</v>
      </c>
      <c r="H68" s="9">
        <f>_xlfn.XLOOKUP(A68, 'MaxPayPoints Transposed'!A:A, 'MaxPayPoints Transposed'!H:H, "missing", -1)/26</f>
        <v>4254.7307692307695</v>
      </c>
      <c r="I68" s="9">
        <f>_xlfn.XLOOKUP(A68, 'MaxPayPoints Transposed'!A:A, 'MaxPayPoints Transposed'!I:I, "missing", -1)/26</f>
        <v>5161.8461538461543</v>
      </c>
      <c r="J68" s="9">
        <f>_xlfn.XLOOKUP(A68, 'MaxPayPoints Transposed'!A:A, 'MaxPayPoints Transposed'!J:J, "missing", -1)/26</f>
        <v>5609.5</v>
      </c>
    </row>
    <row r="69" spans="1:10" x14ac:dyDescent="0.35">
      <c r="A69" s="7">
        <v>44777</v>
      </c>
      <c r="B69" s="20">
        <f>_xlfn.XLOOKUP(A69, CPI!A:A, CPI!B:B, "missing",-1,1)/6.5</f>
        <v>0.27692307692307694</v>
      </c>
      <c r="C69" s="21">
        <f>_xlfn.XLOOKUP(A69, SLCI!A:A, SLCI!B:B, "missing", -1)/6.5</f>
        <v>0.21538461538461537</v>
      </c>
      <c r="D69" s="9">
        <f>_xlfn.XLOOKUP(A69, 'MaxPayPoints Transposed'!A:A, 'MaxPayPoints Transposed'!D:D, "missing", -1)/26</f>
        <v>2466</v>
      </c>
      <c r="E69" s="9">
        <f>_xlfn.XLOOKUP(A69, 'MaxPayPoints Transposed'!A:A, 'MaxPayPoints Transposed'!E:E, "missing", -1)/26</f>
        <v>2767.6538461538462</v>
      </c>
      <c r="F69" s="9">
        <f>_xlfn.XLOOKUP(A69, 'MaxPayPoints Transposed'!A:A, 'MaxPayPoints Transposed'!F:F, "missing", -1)/26</f>
        <v>3066.3461538461538</v>
      </c>
      <c r="G69" s="9">
        <f>_xlfn.XLOOKUP(A69, 'MaxPayPoints Transposed'!A:A, 'MaxPayPoints Transposed'!G:G, "missing", -1)/26</f>
        <v>3527.4230769230771</v>
      </c>
      <c r="H69" s="9">
        <f>_xlfn.XLOOKUP(A69, 'MaxPayPoints Transposed'!A:A, 'MaxPayPoints Transposed'!H:H, "missing", -1)/26</f>
        <v>4254.7307692307695</v>
      </c>
      <c r="I69" s="9">
        <f>_xlfn.XLOOKUP(A69, 'MaxPayPoints Transposed'!A:A, 'MaxPayPoints Transposed'!I:I, "missing", -1)/26</f>
        <v>5161.8461538461543</v>
      </c>
      <c r="J69" s="9">
        <f>_xlfn.XLOOKUP(A69, 'MaxPayPoints Transposed'!A:A, 'MaxPayPoints Transposed'!J:J, "missing", -1)/26</f>
        <v>5609.5</v>
      </c>
    </row>
    <row r="70" spans="1:10" x14ac:dyDescent="0.35">
      <c r="A70" s="7">
        <v>44791</v>
      </c>
      <c r="B70" s="20">
        <f>_xlfn.XLOOKUP(A70, CPI!A:A, CPI!B:B, "missing",-1,1)/6.5</f>
        <v>0.27692307692307694</v>
      </c>
      <c r="C70" s="21">
        <f>_xlfn.XLOOKUP(A70, SLCI!A:A, SLCI!B:B, "missing", -1)/6.5</f>
        <v>0.21538461538461537</v>
      </c>
      <c r="D70" s="9">
        <f>_xlfn.XLOOKUP(A70, 'MaxPayPoints Transposed'!A:A, 'MaxPayPoints Transposed'!D:D, "missing", -1)/26</f>
        <v>2466</v>
      </c>
      <c r="E70" s="9">
        <f>_xlfn.XLOOKUP(A70, 'MaxPayPoints Transposed'!A:A, 'MaxPayPoints Transposed'!E:E, "missing", -1)/26</f>
        <v>2767.6538461538462</v>
      </c>
      <c r="F70" s="9">
        <f>_xlfn.XLOOKUP(A70, 'MaxPayPoints Transposed'!A:A, 'MaxPayPoints Transposed'!F:F, "missing", -1)/26</f>
        <v>3066.3461538461538</v>
      </c>
      <c r="G70" s="9">
        <f>_xlfn.XLOOKUP(A70, 'MaxPayPoints Transposed'!A:A, 'MaxPayPoints Transposed'!G:G, "missing", -1)/26</f>
        <v>3527.4230769230771</v>
      </c>
      <c r="H70" s="9">
        <f>_xlfn.XLOOKUP(A70, 'MaxPayPoints Transposed'!A:A, 'MaxPayPoints Transposed'!H:H, "missing", -1)/26</f>
        <v>4254.7307692307695</v>
      </c>
      <c r="I70" s="9">
        <f>_xlfn.XLOOKUP(A70, 'MaxPayPoints Transposed'!A:A, 'MaxPayPoints Transposed'!I:I, "missing", -1)/26</f>
        <v>5161.8461538461543</v>
      </c>
      <c r="J70" s="9">
        <f>_xlfn.XLOOKUP(A70, 'MaxPayPoints Transposed'!A:A, 'MaxPayPoints Transposed'!J:J, "missing", -1)/26</f>
        <v>5609.5</v>
      </c>
    </row>
    <row r="71" spans="1:10" x14ac:dyDescent="0.35">
      <c r="A71" s="7">
        <v>44805</v>
      </c>
      <c r="B71" s="20">
        <f>_xlfn.XLOOKUP(A71, CPI!A:A, CPI!B:B, "missing",-1,1)/6.5</f>
        <v>0.27692307692307694</v>
      </c>
      <c r="C71" s="21">
        <f>_xlfn.XLOOKUP(A71, SLCI!A:A, SLCI!B:B, "missing", -1)/6.5</f>
        <v>0.41538461538461541</v>
      </c>
      <c r="D71" s="9">
        <f>_xlfn.XLOOKUP(A71, 'MaxPayPoints Transposed'!A:A, 'MaxPayPoints Transposed'!D:D, "missing", -1)/26</f>
        <v>2466</v>
      </c>
      <c r="E71" s="9">
        <f>_xlfn.XLOOKUP(A71, 'MaxPayPoints Transposed'!A:A, 'MaxPayPoints Transposed'!E:E, "missing", -1)/26</f>
        <v>2767.6538461538462</v>
      </c>
      <c r="F71" s="9">
        <f>_xlfn.XLOOKUP(A71, 'MaxPayPoints Transposed'!A:A, 'MaxPayPoints Transposed'!F:F, "missing", -1)/26</f>
        <v>3066.3461538461538</v>
      </c>
      <c r="G71" s="9">
        <f>_xlfn.XLOOKUP(A71, 'MaxPayPoints Transposed'!A:A, 'MaxPayPoints Transposed'!G:G, "missing", -1)/26</f>
        <v>3527.4230769230771</v>
      </c>
      <c r="H71" s="9">
        <f>_xlfn.XLOOKUP(A71, 'MaxPayPoints Transposed'!A:A, 'MaxPayPoints Transposed'!H:H, "missing", -1)/26</f>
        <v>4254.7307692307695</v>
      </c>
      <c r="I71" s="9">
        <f>_xlfn.XLOOKUP(A71, 'MaxPayPoints Transposed'!A:A, 'MaxPayPoints Transposed'!I:I, "missing", -1)/26</f>
        <v>5161.8461538461543</v>
      </c>
      <c r="J71" s="9">
        <f>_xlfn.XLOOKUP(A71, 'MaxPayPoints Transposed'!A:A, 'MaxPayPoints Transposed'!J:J, "missing", -1)/26</f>
        <v>5609.5</v>
      </c>
    </row>
    <row r="72" spans="1:10" x14ac:dyDescent="0.35">
      <c r="A72" s="7">
        <v>44819</v>
      </c>
      <c r="B72" s="20">
        <f>_xlfn.XLOOKUP(A72, CPI!A:A, CPI!B:B, "missing",-1,1)/6.5</f>
        <v>0.27692307692307694</v>
      </c>
      <c r="C72" s="21">
        <f>_xlfn.XLOOKUP(A72, SLCI!A:A, SLCI!B:B, "missing", -1)/6.5</f>
        <v>0.41538461538461541</v>
      </c>
      <c r="D72" s="9">
        <f>_xlfn.XLOOKUP(A72, 'MaxPayPoints Transposed'!A:A, 'MaxPayPoints Transposed'!D:D, "missing", -1)/26</f>
        <v>2466</v>
      </c>
      <c r="E72" s="9">
        <f>_xlfn.XLOOKUP(A72, 'MaxPayPoints Transposed'!A:A, 'MaxPayPoints Transposed'!E:E, "missing", -1)/26</f>
        <v>2767.6538461538462</v>
      </c>
      <c r="F72" s="9">
        <f>_xlfn.XLOOKUP(A72, 'MaxPayPoints Transposed'!A:A, 'MaxPayPoints Transposed'!F:F, "missing", -1)/26</f>
        <v>3066.3461538461538</v>
      </c>
      <c r="G72" s="9">
        <f>_xlfn.XLOOKUP(A72, 'MaxPayPoints Transposed'!A:A, 'MaxPayPoints Transposed'!G:G, "missing", -1)/26</f>
        <v>3527.4230769230771</v>
      </c>
      <c r="H72" s="9">
        <f>_xlfn.XLOOKUP(A72, 'MaxPayPoints Transposed'!A:A, 'MaxPayPoints Transposed'!H:H, "missing", -1)/26</f>
        <v>4254.7307692307695</v>
      </c>
      <c r="I72" s="9">
        <f>_xlfn.XLOOKUP(A72, 'MaxPayPoints Transposed'!A:A, 'MaxPayPoints Transposed'!I:I, "missing", -1)/26</f>
        <v>5161.8461538461543</v>
      </c>
      <c r="J72" s="9">
        <f>_xlfn.XLOOKUP(A72, 'MaxPayPoints Transposed'!A:A, 'MaxPayPoints Transposed'!J:J, "missing", -1)/26</f>
        <v>5609.5</v>
      </c>
    </row>
    <row r="73" spans="1:10" x14ac:dyDescent="0.35">
      <c r="A73" s="7">
        <v>44833</v>
      </c>
      <c r="B73" s="20">
        <f>_xlfn.XLOOKUP(A73, CPI!A:A, CPI!B:B, "missing",-1,1)/6.5</f>
        <v>0.27692307692307694</v>
      </c>
      <c r="C73" s="21">
        <f>_xlfn.XLOOKUP(A73, SLCI!A:A, SLCI!B:B, "missing", -1)/6.5</f>
        <v>0.41538461538461541</v>
      </c>
      <c r="D73" s="9">
        <f>_xlfn.XLOOKUP(A73, 'MaxPayPoints Transposed'!A:A, 'MaxPayPoints Transposed'!D:D, "missing", -1)/26</f>
        <v>2466</v>
      </c>
      <c r="E73" s="9">
        <f>_xlfn.XLOOKUP(A73, 'MaxPayPoints Transposed'!A:A, 'MaxPayPoints Transposed'!E:E, "missing", -1)/26</f>
        <v>2767.6538461538462</v>
      </c>
      <c r="F73" s="9">
        <f>_xlfn.XLOOKUP(A73, 'MaxPayPoints Transposed'!A:A, 'MaxPayPoints Transposed'!F:F, "missing", -1)/26</f>
        <v>3066.3461538461538</v>
      </c>
      <c r="G73" s="9">
        <f>_xlfn.XLOOKUP(A73, 'MaxPayPoints Transposed'!A:A, 'MaxPayPoints Transposed'!G:G, "missing", -1)/26</f>
        <v>3527.4230769230771</v>
      </c>
      <c r="H73" s="9">
        <f>_xlfn.XLOOKUP(A73, 'MaxPayPoints Transposed'!A:A, 'MaxPayPoints Transposed'!H:H, "missing", -1)/26</f>
        <v>4254.7307692307695</v>
      </c>
      <c r="I73" s="9">
        <f>_xlfn.XLOOKUP(A73, 'MaxPayPoints Transposed'!A:A, 'MaxPayPoints Transposed'!I:I, "missing", -1)/26</f>
        <v>5161.8461538461543</v>
      </c>
      <c r="J73" s="9">
        <f>_xlfn.XLOOKUP(A73, 'MaxPayPoints Transposed'!A:A, 'MaxPayPoints Transposed'!J:J, "missing", -1)/26</f>
        <v>5609.5</v>
      </c>
    </row>
    <row r="74" spans="1:10" x14ac:dyDescent="0.35">
      <c r="A74" s="7">
        <v>44847</v>
      </c>
      <c r="B74" s="20">
        <f>_xlfn.XLOOKUP(A74, CPI!A:A, CPI!B:B, "missing",-1,1)/6.5</f>
        <v>0.27692307692307694</v>
      </c>
      <c r="C74" s="21">
        <f>_xlfn.XLOOKUP(A74, SLCI!A:A, SLCI!B:B, "missing", -1)/6.5</f>
        <v>0.41538461538461541</v>
      </c>
      <c r="D74" s="9">
        <f>_xlfn.XLOOKUP(A74, 'MaxPayPoints Transposed'!A:A, 'MaxPayPoints Transposed'!D:D, "missing", -1)/26</f>
        <v>2466</v>
      </c>
      <c r="E74" s="9">
        <f>_xlfn.XLOOKUP(A74, 'MaxPayPoints Transposed'!A:A, 'MaxPayPoints Transposed'!E:E, "missing", -1)/26</f>
        <v>2767.6538461538462</v>
      </c>
      <c r="F74" s="9">
        <f>_xlfn.XLOOKUP(A74, 'MaxPayPoints Transposed'!A:A, 'MaxPayPoints Transposed'!F:F, "missing", -1)/26</f>
        <v>3066.3461538461538</v>
      </c>
      <c r="G74" s="9">
        <f>_xlfn.XLOOKUP(A74, 'MaxPayPoints Transposed'!A:A, 'MaxPayPoints Transposed'!G:G, "missing", -1)/26</f>
        <v>3527.4230769230771</v>
      </c>
      <c r="H74" s="9">
        <f>_xlfn.XLOOKUP(A74, 'MaxPayPoints Transposed'!A:A, 'MaxPayPoints Transposed'!H:H, "missing", -1)/26</f>
        <v>4254.7307692307695</v>
      </c>
      <c r="I74" s="9">
        <f>_xlfn.XLOOKUP(A74, 'MaxPayPoints Transposed'!A:A, 'MaxPayPoints Transposed'!I:I, "missing", -1)/26</f>
        <v>5161.8461538461543</v>
      </c>
      <c r="J74" s="9">
        <f>_xlfn.XLOOKUP(A74, 'MaxPayPoints Transposed'!A:A, 'MaxPayPoints Transposed'!J:J, "missing", -1)/26</f>
        <v>5609.5</v>
      </c>
    </row>
    <row r="75" spans="1:10" x14ac:dyDescent="0.35">
      <c r="A75" s="7">
        <v>44861</v>
      </c>
      <c r="B75" s="20">
        <f>_xlfn.XLOOKUP(A75, CPI!A:A, CPI!B:B, "missing",-1,1)/6.5</f>
        <v>0.27692307692307694</v>
      </c>
      <c r="C75" s="21">
        <f>_xlfn.XLOOKUP(A75, SLCI!A:A, SLCI!B:B, "missing", -1)/6.5</f>
        <v>0.41538461538461541</v>
      </c>
      <c r="D75" s="9">
        <f>_xlfn.XLOOKUP(A75, 'MaxPayPoints Transposed'!A:A, 'MaxPayPoints Transposed'!D:D, "missing", -1)/26</f>
        <v>2466</v>
      </c>
      <c r="E75" s="9">
        <f>_xlfn.XLOOKUP(A75, 'MaxPayPoints Transposed'!A:A, 'MaxPayPoints Transposed'!E:E, "missing", -1)/26</f>
        <v>2767.6538461538462</v>
      </c>
      <c r="F75" s="9">
        <f>_xlfn.XLOOKUP(A75, 'MaxPayPoints Transposed'!A:A, 'MaxPayPoints Transposed'!F:F, "missing", -1)/26</f>
        <v>3066.3461538461538</v>
      </c>
      <c r="G75" s="9">
        <f>_xlfn.XLOOKUP(A75, 'MaxPayPoints Transposed'!A:A, 'MaxPayPoints Transposed'!G:G, "missing", -1)/26</f>
        <v>3527.4230769230771</v>
      </c>
      <c r="H75" s="9">
        <f>_xlfn.XLOOKUP(A75, 'MaxPayPoints Transposed'!A:A, 'MaxPayPoints Transposed'!H:H, "missing", -1)/26</f>
        <v>4254.7307692307695</v>
      </c>
      <c r="I75" s="9">
        <f>_xlfn.XLOOKUP(A75, 'MaxPayPoints Transposed'!A:A, 'MaxPayPoints Transposed'!I:I, "missing", -1)/26</f>
        <v>5161.8461538461543</v>
      </c>
      <c r="J75" s="9">
        <f>_xlfn.XLOOKUP(A75, 'MaxPayPoints Transposed'!A:A, 'MaxPayPoints Transposed'!J:J, "missing", -1)/26</f>
        <v>5609.5</v>
      </c>
    </row>
    <row r="76" spans="1:10" x14ac:dyDescent="0.35">
      <c r="A76" s="7">
        <v>44875</v>
      </c>
      <c r="B76" s="20">
        <f>_xlfn.XLOOKUP(A76, CPI!A:A, CPI!B:B, "missing",-1,1)/6.5</f>
        <v>0.27692307692307694</v>
      </c>
      <c r="C76" s="21">
        <f>_xlfn.XLOOKUP(A76, SLCI!A:A, SLCI!B:B, "missing", -1)/6.5</f>
        <v>0.41538461538461541</v>
      </c>
      <c r="D76" s="9">
        <f>_xlfn.XLOOKUP(A76, 'MaxPayPoints Transposed'!A:A, 'MaxPayPoints Transposed'!D:D, "missing", -1)/26</f>
        <v>2466</v>
      </c>
      <c r="E76" s="9">
        <f>_xlfn.XLOOKUP(A76, 'MaxPayPoints Transposed'!A:A, 'MaxPayPoints Transposed'!E:E, "missing", -1)/26</f>
        <v>2767.6538461538462</v>
      </c>
      <c r="F76" s="9">
        <f>_xlfn.XLOOKUP(A76, 'MaxPayPoints Transposed'!A:A, 'MaxPayPoints Transposed'!F:F, "missing", -1)/26</f>
        <v>3066.3461538461538</v>
      </c>
      <c r="G76" s="9">
        <f>_xlfn.XLOOKUP(A76, 'MaxPayPoints Transposed'!A:A, 'MaxPayPoints Transposed'!G:G, "missing", -1)/26</f>
        <v>3527.4230769230771</v>
      </c>
      <c r="H76" s="9">
        <f>_xlfn.XLOOKUP(A76, 'MaxPayPoints Transposed'!A:A, 'MaxPayPoints Transposed'!H:H, "missing", -1)/26</f>
        <v>4254.7307692307695</v>
      </c>
      <c r="I76" s="9">
        <f>_xlfn.XLOOKUP(A76, 'MaxPayPoints Transposed'!A:A, 'MaxPayPoints Transposed'!I:I, "missing", -1)/26</f>
        <v>5161.8461538461543</v>
      </c>
      <c r="J76" s="9">
        <f>_xlfn.XLOOKUP(A76, 'MaxPayPoints Transposed'!A:A, 'MaxPayPoints Transposed'!J:J, "missing", -1)/26</f>
        <v>5609.5</v>
      </c>
    </row>
    <row r="77" spans="1:10" x14ac:dyDescent="0.35">
      <c r="A77" s="7">
        <v>44889</v>
      </c>
      <c r="B77" s="20">
        <f>_xlfn.XLOOKUP(A77, CPI!A:A, CPI!B:B, "missing",-1,1)/6.5</f>
        <v>0.27692307692307694</v>
      </c>
      <c r="C77" s="21">
        <f>_xlfn.XLOOKUP(A77, SLCI!A:A, SLCI!B:B, "missing", -1)/6.5</f>
        <v>0.41538461538461541</v>
      </c>
      <c r="D77" s="9">
        <f>_xlfn.XLOOKUP(A77, 'MaxPayPoints Transposed'!A:A, 'MaxPayPoints Transposed'!D:D, "missing", -1)/26</f>
        <v>2466</v>
      </c>
      <c r="E77" s="9">
        <f>_xlfn.XLOOKUP(A77, 'MaxPayPoints Transposed'!A:A, 'MaxPayPoints Transposed'!E:E, "missing", -1)/26</f>
        <v>2767.6538461538462</v>
      </c>
      <c r="F77" s="9">
        <f>_xlfn.XLOOKUP(A77, 'MaxPayPoints Transposed'!A:A, 'MaxPayPoints Transposed'!F:F, "missing", -1)/26</f>
        <v>3066.3461538461538</v>
      </c>
      <c r="G77" s="9">
        <f>_xlfn.XLOOKUP(A77, 'MaxPayPoints Transposed'!A:A, 'MaxPayPoints Transposed'!G:G, "missing", -1)/26</f>
        <v>3527.4230769230771</v>
      </c>
      <c r="H77" s="9">
        <f>_xlfn.XLOOKUP(A77, 'MaxPayPoints Transposed'!A:A, 'MaxPayPoints Transposed'!H:H, "missing", -1)/26</f>
        <v>4254.7307692307695</v>
      </c>
      <c r="I77" s="9">
        <f>_xlfn.XLOOKUP(A77, 'MaxPayPoints Transposed'!A:A, 'MaxPayPoints Transposed'!I:I, "missing", -1)/26</f>
        <v>5161.8461538461543</v>
      </c>
      <c r="J77" s="9">
        <f>_xlfn.XLOOKUP(A77, 'MaxPayPoints Transposed'!A:A, 'MaxPayPoints Transposed'!J:J, "missing", -1)/26</f>
        <v>5609.5</v>
      </c>
    </row>
    <row r="78" spans="1:10" x14ac:dyDescent="0.35">
      <c r="A78" s="7">
        <v>44903</v>
      </c>
      <c r="B78" s="20">
        <f>_xlfn.XLOOKUP(A78, CPI!A:A, CPI!B:B, "missing",-1,1)/6.5</f>
        <v>0.27692307692307694</v>
      </c>
      <c r="C78" s="21">
        <f>_xlfn.XLOOKUP(A78, SLCI!A:A, SLCI!B:B, "missing", -1)/6.5</f>
        <v>0.49230769230769234</v>
      </c>
      <c r="D78" s="9">
        <f>_xlfn.XLOOKUP(A78, 'MaxPayPoints Transposed'!A:A, 'MaxPayPoints Transposed'!D:D, "missing", -1)/26</f>
        <v>2466</v>
      </c>
      <c r="E78" s="9">
        <f>_xlfn.XLOOKUP(A78, 'MaxPayPoints Transposed'!A:A, 'MaxPayPoints Transposed'!E:E, "missing", -1)/26</f>
        <v>2767.6538461538462</v>
      </c>
      <c r="F78" s="9">
        <f>_xlfn.XLOOKUP(A78, 'MaxPayPoints Transposed'!A:A, 'MaxPayPoints Transposed'!F:F, "missing", -1)/26</f>
        <v>3066.3461538461538</v>
      </c>
      <c r="G78" s="9">
        <f>_xlfn.XLOOKUP(A78, 'MaxPayPoints Transposed'!A:A, 'MaxPayPoints Transposed'!G:G, "missing", -1)/26</f>
        <v>3527.4230769230771</v>
      </c>
      <c r="H78" s="9">
        <f>_xlfn.XLOOKUP(A78, 'MaxPayPoints Transposed'!A:A, 'MaxPayPoints Transposed'!H:H, "missing", -1)/26</f>
        <v>4254.7307692307695</v>
      </c>
      <c r="I78" s="9">
        <f>_xlfn.XLOOKUP(A78, 'MaxPayPoints Transposed'!A:A, 'MaxPayPoints Transposed'!I:I, "missing", -1)/26</f>
        <v>5161.8461538461543</v>
      </c>
      <c r="J78" s="9">
        <f>_xlfn.XLOOKUP(A78, 'MaxPayPoints Transposed'!A:A, 'MaxPayPoints Transposed'!J:J, "missing", -1)/26</f>
        <v>5609.5</v>
      </c>
    </row>
    <row r="79" spans="1:10" x14ac:dyDescent="0.35">
      <c r="A79" s="7">
        <v>44917</v>
      </c>
      <c r="B79" s="20">
        <f>_xlfn.XLOOKUP(A79, CPI!A:A, CPI!B:B, "missing",-1,1)/6.5</f>
        <v>0.27692307692307694</v>
      </c>
      <c r="C79" s="21">
        <f>_xlfn.XLOOKUP(A79, SLCI!A:A, SLCI!B:B, "missing", -1)/6.5</f>
        <v>0.49230769230769234</v>
      </c>
      <c r="D79" s="9">
        <f>_xlfn.XLOOKUP(A79, 'MaxPayPoints Transposed'!A:A, 'MaxPayPoints Transposed'!D:D, "missing", -1)/26</f>
        <v>2466</v>
      </c>
      <c r="E79" s="9">
        <f>_xlfn.XLOOKUP(A79, 'MaxPayPoints Transposed'!A:A, 'MaxPayPoints Transposed'!E:E, "missing", -1)/26</f>
        <v>2767.6538461538462</v>
      </c>
      <c r="F79" s="9">
        <f>_xlfn.XLOOKUP(A79, 'MaxPayPoints Transposed'!A:A, 'MaxPayPoints Transposed'!F:F, "missing", -1)/26</f>
        <v>3066.3461538461538</v>
      </c>
      <c r="G79" s="9">
        <f>_xlfn.XLOOKUP(A79, 'MaxPayPoints Transposed'!A:A, 'MaxPayPoints Transposed'!G:G, "missing", -1)/26</f>
        <v>3527.4230769230771</v>
      </c>
      <c r="H79" s="9">
        <f>_xlfn.XLOOKUP(A79, 'MaxPayPoints Transposed'!A:A, 'MaxPayPoints Transposed'!H:H, "missing", -1)/26</f>
        <v>4254.7307692307695</v>
      </c>
      <c r="I79" s="9">
        <f>_xlfn.XLOOKUP(A79, 'MaxPayPoints Transposed'!A:A, 'MaxPayPoints Transposed'!I:I, "missing", -1)/26</f>
        <v>5161.8461538461543</v>
      </c>
      <c r="J79" s="9">
        <f>_xlfn.XLOOKUP(A79, 'MaxPayPoints Transposed'!A:A, 'MaxPayPoints Transposed'!J:J, "missing", -1)/26</f>
        <v>5609.5</v>
      </c>
    </row>
    <row r="80" spans="1:10" x14ac:dyDescent="0.35">
      <c r="A80" s="7">
        <v>44931</v>
      </c>
      <c r="B80" s="20">
        <f>_xlfn.XLOOKUP(A80, CPI!A:A, CPI!B:B, "missing",-1,1)/6.5</f>
        <v>0.27692307692307694</v>
      </c>
      <c r="C80" s="21">
        <f>_xlfn.XLOOKUP(A80, SLCI!A:A, SLCI!B:B, "missing", -1)/6.5</f>
        <v>0.49230769230769234</v>
      </c>
      <c r="D80" s="9">
        <f>_xlfn.XLOOKUP(A80, 'MaxPayPoints Transposed'!A:A, 'MaxPayPoints Transposed'!D:D, "missing", -1)/26</f>
        <v>2466</v>
      </c>
      <c r="E80" s="9">
        <f>_xlfn.XLOOKUP(A80, 'MaxPayPoints Transposed'!A:A, 'MaxPayPoints Transposed'!E:E, "missing", -1)/26</f>
        <v>2767.6538461538462</v>
      </c>
      <c r="F80" s="9">
        <f>_xlfn.XLOOKUP(A80, 'MaxPayPoints Transposed'!A:A, 'MaxPayPoints Transposed'!F:F, "missing", -1)/26</f>
        <v>3066.3461538461538</v>
      </c>
      <c r="G80" s="9">
        <f>_xlfn.XLOOKUP(A80, 'MaxPayPoints Transposed'!A:A, 'MaxPayPoints Transposed'!G:G, "missing", -1)/26</f>
        <v>3527.4230769230771</v>
      </c>
      <c r="H80" s="9">
        <f>_xlfn.XLOOKUP(A80, 'MaxPayPoints Transposed'!A:A, 'MaxPayPoints Transposed'!H:H, "missing", -1)/26</f>
        <v>4254.7307692307695</v>
      </c>
      <c r="I80" s="9">
        <f>_xlfn.XLOOKUP(A80, 'MaxPayPoints Transposed'!A:A, 'MaxPayPoints Transposed'!I:I, "missing", -1)/26</f>
        <v>5161.8461538461543</v>
      </c>
      <c r="J80" s="9">
        <f>_xlfn.XLOOKUP(A80, 'MaxPayPoints Transposed'!A:A, 'MaxPayPoints Transposed'!J:J, "missing", -1)/26</f>
        <v>5609.5</v>
      </c>
    </row>
    <row r="81" spans="1:10" x14ac:dyDescent="0.35">
      <c r="A81" s="7">
        <v>44945</v>
      </c>
      <c r="B81" s="20">
        <f>_xlfn.XLOOKUP(A81, CPI!A:A, CPI!B:B, "missing",-1,1)/6.5</f>
        <v>0.27692307692307694</v>
      </c>
      <c r="C81" s="21">
        <f>_xlfn.XLOOKUP(A81, SLCI!A:A, SLCI!B:B, "missing", -1)/6.5</f>
        <v>0.49230769230769234</v>
      </c>
      <c r="D81" s="9">
        <f>_xlfn.XLOOKUP(A81, 'MaxPayPoints Transposed'!A:A, 'MaxPayPoints Transposed'!D:D, "missing", -1)/26</f>
        <v>2466</v>
      </c>
      <c r="E81" s="9">
        <f>_xlfn.XLOOKUP(A81, 'MaxPayPoints Transposed'!A:A, 'MaxPayPoints Transposed'!E:E, "missing", -1)/26</f>
        <v>2767.6538461538462</v>
      </c>
      <c r="F81" s="9">
        <f>_xlfn.XLOOKUP(A81, 'MaxPayPoints Transposed'!A:A, 'MaxPayPoints Transposed'!F:F, "missing", -1)/26</f>
        <v>3066.3461538461538</v>
      </c>
      <c r="G81" s="9">
        <f>_xlfn.XLOOKUP(A81, 'MaxPayPoints Transposed'!A:A, 'MaxPayPoints Transposed'!G:G, "missing", -1)/26</f>
        <v>3527.4230769230771</v>
      </c>
      <c r="H81" s="9">
        <f>_xlfn.XLOOKUP(A81, 'MaxPayPoints Transposed'!A:A, 'MaxPayPoints Transposed'!H:H, "missing", -1)/26</f>
        <v>4254.7307692307695</v>
      </c>
      <c r="I81" s="9">
        <f>_xlfn.XLOOKUP(A81, 'MaxPayPoints Transposed'!A:A, 'MaxPayPoints Transposed'!I:I, "missing", -1)/26</f>
        <v>5161.8461538461543</v>
      </c>
      <c r="J81" s="9">
        <f>_xlfn.XLOOKUP(A81, 'MaxPayPoints Transposed'!A:A, 'MaxPayPoints Transposed'!J:J, "missing", -1)/26</f>
        <v>5609.5</v>
      </c>
    </row>
    <row r="82" spans="1:10" x14ac:dyDescent="0.35">
      <c r="A82" s="7">
        <v>44959</v>
      </c>
      <c r="B82" s="20">
        <f>_xlfn.XLOOKUP(A82, CPI!A:A, CPI!B:B, "missing",-1,1)/6.5</f>
        <v>0.27692307692307694</v>
      </c>
      <c r="C82" s="21">
        <f>_xlfn.XLOOKUP(A82, SLCI!A:A, SLCI!B:B, "missing", -1)/6.5</f>
        <v>0.49230769230769234</v>
      </c>
      <c r="D82" s="9">
        <f>_xlfn.XLOOKUP(A82, 'MaxPayPoints Transposed'!A:A, 'MaxPayPoints Transposed'!D:D, "missing", -1)/26</f>
        <v>2466</v>
      </c>
      <c r="E82" s="9">
        <f>_xlfn.XLOOKUP(A82, 'MaxPayPoints Transposed'!A:A, 'MaxPayPoints Transposed'!E:E, "missing", -1)/26</f>
        <v>2767.6538461538462</v>
      </c>
      <c r="F82" s="9">
        <f>_xlfn.XLOOKUP(A82, 'MaxPayPoints Transposed'!A:A, 'MaxPayPoints Transposed'!F:F, "missing", -1)/26</f>
        <v>3066.3461538461538</v>
      </c>
      <c r="G82" s="9">
        <f>_xlfn.XLOOKUP(A82, 'MaxPayPoints Transposed'!A:A, 'MaxPayPoints Transposed'!G:G, "missing", -1)/26</f>
        <v>3527.4230769230771</v>
      </c>
      <c r="H82" s="9">
        <f>_xlfn.XLOOKUP(A82, 'MaxPayPoints Transposed'!A:A, 'MaxPayPoints Transposed'!H:H, "missing", -1)/26</f>
        <v>4254.7307692307695</v>
      </c>
      <c r="I82" s="9">
        <f>_xlfn.XLOOKUP(A82, 'MaxPayPoints Transposed'!A:A, 'MaxPayPoints Transposed'!I:I, "missing", -1)/26</f>
        <v>5161.8461538461543</v>
      </c>
      <c r="J82" s="9">
        <f>_xlfn.XLOOKUP(A82, 'MaxPayPoints Transposed'!A:A, 'MaxPayPoints Transposed'!J:J, "missing", -1)/26</f>
        <v>5609.5</v>
      </c>
    </row>
    <row r="83" spans="1:10" x14ac:dyDescent="0.35">
      <c r="A83" s="7">
        <v>44973</v>
      </c>
      <c r="B83" s="20">
        <f>_xlfn.XLOOKUP(A83, CPI!A:A, CPI!B:B, "missing",-1,1)/6.5</f>
        <v>0.27692307692307694</v>
      </c>
      <c r="C83" s="21">
        <f>_xlfn.XLOOKUP(A83, SLCI!A:A, SLCI!B:B, "missing", -1)/6.5</f>
        <v>0.49230769230769234</v>
      </c>
      <c r="D83" s="9">
        <f>_xlfn.XLOOKUP(A83, 'MaxPayPoints Transposed'!A:A, 'MaxPayPoints Transposed'!D:D, "missing", -1)/26</f>
        <v>2466</v>
      </c>
      <c r="E83" s="9">
        <f>_xlfn.XLOOKUP(A83, 'MaxPayPoints Transposed'!A:A, 'MaxPayPoints Transposed'!E:E, "missing", -1)/26</f>
        <v>2767.6538461538462</v>
      </c>
      <c r="F83" s="9">
        <f>_xlfn.XLOOKUP(A83, 'MaxPayPoints Transposed'!A:A, 'MaxPayPoints Transposed'!F:F, "missing", -1)/26</f>
        <v>3066.3461538461538</v>
      </c>
      <c r="G83" s="9">
        <f>_xlfn.XLOOKUP(A83, 'MaxPayPoints Transposed'!A:A, 'MaxPayPoints Transposed'!G:G, "missing", -1)/26</f>
        <v>3527.4230769230771</v>
      </c>
      <c r="H83" s="9">
        <f>_xlfn.XLOOKUP(A83, 'MaxPayPoints Transposed'!A:A, 'MaxPayPoints Transposed'!H:H, "missing", -1)/26</f>
        <v>4254.7307692307695</v>
      </c>
      <c r="I83" s="9">
        <f>_xlfn.XLOOKUP(A83, 'MaxPayPoints Transposed'!A:A, 'MaxPayPoints Transposed'!I:I, "missing", -1)/26</f>
        <v>5161.8461538461543</v>
      </c>
      <c r="J83" s="9">
        <f>_xlfn.XLOOKUP(A83, 'MaxPayPoints Transposed'!A:A, 'MaxPayPoints Transposed'!J:J, "missing", -1)/26</f>
        <v>5609.5</v>
      </c>
    </row>
    <row r="84" spans="1:10" x14ac:dyDescent="0.35">
      <c r="A84" s="7">
        <v>44987</v>
      </c>
      <c r="B84" s="20">
        <f>_xlfn.XLOOKUP(A84, CPI!A:A, CPI!B:B, "missing",-1,1)/6.5</f>
        <v>0.21538461538461537</v>
      </c>
      <c r="C84" s="21">
        <f>_xlfn.XLOOKUP(A84, SLCI!A:A, SLCI!B:B, "missing", -1)/6.5</f>
        <v>0.29230769230769227</v>
      </c>
      <c r="D84" s="9">
        <f>_xlfn.XLOOKUP(A84, 'MaxPayPoints Transposed'!A:A, 'MaxPayPoints Transposed'!D:D, "missing", -1)/26</f>
        <v>2466</v>
      </c>
      <c r="E84" s="9">
        <f>_xlfn.XLOOKUP(A84, 'MaxPayPoints Transposed'!A:A, 'MaxPayPoints Transposed'!E:E, "missing", -1)/26</f>
        <v>2767.6538461538462</v>
      </c>
      <c r="F84" s="9">
        <f>_xlfn.XLOOKUP(A84, 'MaxPayPoints Transposed'!A:A, 'MaxPayPoints Transposed'!F:F, "missing", -1)/26</f>
        <v>3066.3461538461538</v>
      </c>
      <c r="G84" s="9">
        <f>_xlfn.XLOOKUP(A84, 'MaxPayPoints Transposed'!A:A, 'MaxPayPoints Transposed'!G:G, "missing", -1)/26</f>
        <v>3527.4230769230771</v>
      </c>
      <c r="H84" s="9">
        <f>_xlfn.XLOOKUP(A84, 'MaxPayPoints Transposed'!A:A, 'MaxPayPoints Transposed'!H:H, "missing", -1)/26</f>
        <v>4254.7307692307695</v>
      </c>
      <c r="I84" s="9">
        <f>_xlfn.XLOOKUP(A84, 'MaxPayPoints Transposed'!A:A, 'MaxPayPoints Transposed'!I:I, "missing", -1)/26</f>
        <v>5161.8461538461543</v>
      </c>
      <c r="J84" s="9">
        <f>_xlfn.XLOOKUP(A84, 'MaxPayPoints Transposed'!A:A, 'MaxPayPoints Transposed'!J:J, "missing", -1)/26</f>
        <v>5609.5</v>
      </c>
    </row>
    <row r="85" spans="1:10" x14ac:dyDescent="0.35">
      <c r="A85" s="7">
        <v>45001</v>
      </c>
      <c r="B85" s="20">
        <f>_xlfn.XLOOKUP(A85, CPI!A:A, CPI!B:B, "missing",-1,1)/6.5</f>
        <v>0.21538461538461537</v>
      </c>
      <c r="C85" s="21">
        <f>_xlfn.XLOOKUP(A85, SLCI!A:A, SLCI!B:B, "missing", -1)/6.5</f>
        <v>0.29230769230769227</v>
      </c>
      <c r="D85" s="9">
        <f>_xlfn.XLOOKUP(A85, 'MaxPayPoints Transposed'!A:A, 'MaxPayPoints Transposed'!D:D, "missing", -1)/26</f>
        <v>2466</v>
      </c>
      <c r="E85" s="9">
        <f>_xlfn.XLOOKUP(A85, 'MaxPayPoints Transposed'!A:A, 'MaxPayPoints Transposed'!E:E, "missing", -1)/26</f>
        <v>2767.6538461538462</v>
      </c>
      <c r="F85" s="9">
        <f>_xlfn.XLOOKUP(A85, 'MaxPayPoints Transposed'!A:A, 'MaxPayPoints Transposed'!F:F, "missing", -1)/26</f>
        <v>3066.3461538461538</v>
      </c>
      <c r="G85" s="9">
        <f>_xlfn.XLOOKUP(A85, 'MaxPayPoints Transposed'!A:A, 'MaxPayPoints Transposed'!G:G, "missing", -1)/26</f>
        <v>3527.4230769230771</v>
      </c>
      <c r="H85" s="9">
        <f>_xlfn.XLOOKUP(A85, 'MaxPayPoints Transposed'!A:A, 'MaxPayPoints Transposed'!H:H, "missing", -1)/26</f>
        <v>4254.7307692307695</v>
      </c>
      <c r="I85" s="9">
        <f>_xlfn.XLOOKUP(A85, 'MaxPayPoints Transposed'!A:A, 'MaxPayPoints Transposed'!I:I, "missing", -1)/26</f>
        <v>5161.8461538461543</v>
      </c>
      <c r="J85" s="9">
        <f>_xlfn.XLOOKUP(A85, 'MaxPayPoints Transposed'!A:A, 'MaxPayPoints Transposed'!J:J, "missing", -1)/26</f>
        <v>5609.5</v>
      </c>
    </row>
    <row r="86" spans="1:10" x14ac:dyDescent="0.35">
      <c r="A86" s="7">
        <v>45015</v>
      </c>
      <c r="B86" s="20">
        <f>_xlfn.XLOOKUP(A86, CPI!A:A, CPI!B:B, "missing",-1,1)/6.5</f>
        <v>0.21538461538461537</v>
      </c>
      <c r="C86" s="21">
        <f>_xlfn.XLOOKUP(A86, SLCI!A:A, SLCI!B:B, "missing", -1)/6.5</f>
        <v>0.29230769230769227</v>
      </c>
      <c r="D86" s="9">
        <f>_xlfn.XLOOKUP(A86, 'MaxPayPoints Transposed'!A:A, 'MaxPayPoints Transposed'!D:D, "missing", -1)/26</f>
        <v>2466</v>
      </c>
      <c r="E86" s="9">
        <f>_xlfn.XLOOKUP(A86, 'MaxPayPoints Transposed'!A:A, 'MaxPayPoints Transposed'!E:E, "missing", -1)/26</f>
        <v>2767.6538461538462</v>
      </c>
      <c r="F86" s="9">
        <f>_xlfn.XLOOKUP(A86, 'MaxPayPoints Transposed'!A:A, 'MaxPayPoints Transposed'!F:F, "missing", -1)/26</f>
        <v>3066.3461538461538</v>
      </c>
      <c r="G86" s="9">
        <f>_xlfn.XLOOKUP(A86, 'MaxPayPoints Transposed'!A:A, 'MaxPayPoints Transposed'!G:G, "missing", -1)/26</f>
        <v>3527.4230769230771</v>
      </c>
      <c r="H86" s="9">
        <f>_xlfn.XLOOKUP(A86, 'MaxPayPoints Transposed'!A:A, 'MaxPayPoints Transposed'!H:H, "missing", -1)/26</f>
        <v>4254.7307692307695</v>
      </c>
      <c r="I86" s="9">
        <f>_xlfn.XLOOKUP(A86, 'MaxPayPoints Transposed'!A:A, 'MaxPayPoints Transposed'!I:I, "missing", -1)/26</f>
        <v>5161.8461538461543</v>
      </c>
      <c r="J86" s="9">
        <f>_xlfn.XLOOKUP(A86, 'MaxPayPoints Transposed'!A:A, 'MaxPayPoints Transposed'!J:J, "missing", -1)/26</f>
        <v>5609.5</v>
      </c>
    </row>
    <row r="87" spans="1:10" x14ac:dyDescent="0.35">
      <c r="A87" s="7">
        <v>45029</v>
      </c>
      <c r="B87" s="20">
        <f>_xlfn.XLOOKUP(A87, CPI!A:A, CPI!B:B, "missing",-1,1)/6.5</f>
        <v>0.21538461538461537</v>
      </c>
      <c r="C87" s="21">
        <f>_xlfn.XLOOKUP(A87, SLCI!A:A, SLCI!B:B, "missing", -1)/6.5</f>
        <v>0.29230769230769227</v>
      </c>
      <c r="D87" s="9">
        <f>_xlfn.XLOOKUP(A87, 'MaxPayPoints Transposed'!A:A, 'MaxPayPoints Transposed'!D:D, "missing", -1)/26</f>
        <v>2466</v>
      </c>
      <c r="E87" s="9">
        <f>_xlfn.XLOOKUP(A87, 'MaxPayPoints Transposed'!A:A, 'MaxPayPoints Transposed'!E:E, "missing", -1)/26</f>
        <v>2767.6538461538462</v>
      </c>
      <c r="F87" s="9">
        <f>_xlfn.XLOOKUP(A87, 'MaxPayPoints Transposed'!A:A, 'MaxPayPoints Transposed'!F:F, "missing", -1)/26</f>
        <v>3066.3461538461538</v>
      </c>
      <c r="G87" s="9">
        <f>_xlfn.XLOOKUP(A87, 'MaxPayPoints Transposed'!A:A, 'MaxPayPoints Transposed'!G:G, "missing", -1)/26</f>
        <v>3527.4230769230771</v>
      </c>
      <c r="H87" s="9">
        <f>_xlfn.XLOOKUP(A87, 'MaxPayPoints Transposed'!A:A, 'MaxPayPoints Transposed'!H:H, "missing", -1)/26</f>
        <v>4254.7307692307695</v>
      </c>
      <c r="I87" s="9">
        <f>_xlfn.XLOOKUP(A87, 'MaxPayPoints Transposed'!A:A, 'MaxPayPoints Transposed'!I:I, "missing", -1)/26</f>
        <v>5161.8461538461543</v>
      </c>
      <c r="J87" s="9">
        <f>_xlfn.XLOOKUP(A87, 'MaxPayPoints Transposed'!A:A, 'MaxPayPoints Transposed'!J:J, "missing", -1)/26</f>
        <v>5609.5</v>
      </c>
    </row>
    <row r="88" spans="1:10" x14ac:dyDescent="0.35">
      <c r="A88" s="7">
        <v>45043</v>
      </c>
      <c r="B88" s="20">
        <f>_xlfn.XLOOKUP(A88, CPI!A:A, CPI!B:B, "missing",-1,1)/6.5</f>
        <v>0.21538461538461537</v>
      </c>
      <c r="C88" s="21">
        <f>_xlfn.XLOOKUP(A88, SLCI!A:A, SLCI!B:B, "missing", -1)/6.5</f>
        <v>0.29230769230769227</v>
      </c>
      <c r="D88" s="9">
        <f>_xlfn.XLOOKUP(A88, 'MaxPayPoints Transposed'!A:A, 'MaxPayPoints Transposed'!D:D, "missing", -1)/26</f>
        <v>2466</v>
      </c>
      <c r="E88" s="9">
        <f>_xlfn.XLOOKUP(A88, 'MaxPayPoints Transposed'!A:A, 'MaxPayPoints Transposed'!E:E, "missing", -1)/26</f>
        <v>2767.6538461538462</v>
      </c>
      <c r="F88" s="9">
        <f>_xlfn.XLOOKUP(A88, 'MaxPayPoints Transposed'!A:A, 'MaxPayPoints Transposed'!F:F, "missing", -1)/26</f>
        <v>3066.3461538461538</v>
      </c>
      <c r="G88" s="9">
        <f>_xlfn.XLOOKUP(A88, 'MaxPayPoints Transposed'!A:A, 'MaxPayPoints Transposed'!G:G, "missing", -1)/26</f>
        <v>3527.4230769230771</v>
      </c>
      <c r="H88" s="9">
        <f>_xlfn.XLOOKUP(A88, 'MaxPayPoints Transposed'!A:A, 'MaxPayPoints Transposed'!H:H, "missing", -1)/26</f>
        <v>4254.7307692307695</v>
      </c>
      <c r="I88" s="9">
        <f>_xlfn.XLOOKUP(A88, 'MaxPayPoints Transposed'!A:A, 'MaxPayPoints Transposed'!I:I, "missing", -1)/26</f>
        <v>5161.8461538461543</v>
      </c>
      <c r="J88" s="9">
        <f>_xlfn.XLOOKUP(A88, 'MaxPayPoints Transposed'!A:A, 'MaxPayPoints Transposed'!J:J, "missing", -1)/26</f>
        <v>5609.5</v>
      </c>
    </row>
    <row r="89" spans="1:10" x14ac:dyDescent="0.35">
      <c r="A89" s="7">
        <v>45057</v>
      </c>
      <c r="B89" s="20">
        <f>_xlfn.XLOOKUP(A89, CPI!A:A, CPI!B:B, "missing",-1,1)/6.5</f>
        <v>0.21538461538461537</v>
      </c>
      <c r="C89" s="21">
        <f>_xlfn.XLOOKUP(A89, SLCI!A:A, SLCI!B:B, "missing", -1)/6.5</f>
        <v>0.29230769230769227</v>
      </c>
      <c r="D89" s="9">
        <f>_xlfn.XLOOKUP(A89, 'MaxPayPoints Transposed'!A:A, 'MaxPayPoints Transposed'!D:D, "missing", -1)/26</f>
        <v>2466</v>
      </c>
      <c r="E89" s="9">
        <f>_xlfn.XLOOKUP(A89, 'MaxPayPoints Transposed'!A:A, 'MaxPayPoints Transposed'!E:E, "missing", -1)/26</f>
        <v>2767.6538461538462</v>
      </c>
      <c r="F89" s="9">
        <f>_xlfn.XLOOKUP(A89, 'MaxPayPoints Transposed'!A:A, 'MaxPayPoints Transposed'!F:F, "missing", -1)/26</f>
        <v>3066.3461538461538</v>
      </c>
      <c r="G89" s="9">
        <f>_xlfn.XLOOKUP(A89, 'MaxPayPoints Transposed'!A:A, 'MaxPayPoints Transposed'!G:G, "missing", -1)/26</f>
        <v>3527.4230769230771</v>
      </c>
      <c r="H89" s="9">
        <f>_xlfn.XLOOKUP(A89, 'MaxPayPoints Transposed'!A:A, 'MaxPayPoints Transposed'!H:H, "missing", -1)/26</f>
        <v>4254.7307692307695</v>
      </c>
      <c r="I89" s="9">
        <f>_xlfn.XLOOKUP(A89, 'MaxPayPoints Transposed'!A:A, 'MaxPayPoints Transposed'!I:I, "missing", -1)/26</f>
        <v>5161.8461538461543</v>
      </c>
      <c r="J89" s="9">
        <f>_xlfn.XLOOKUP(A89, 'MaxPayPoints Transposed'!A:A, 'MaxPayPoints Transposed'!J:J, "missing", -1)/26</f>
        <v>5609.5</v>
      </c>
    </row>
    <row r="90" spans="1:10" x14ac:dyDescent="0.35">
      <c r="A90" s="7">
        <v>45071</v>
      </c>
      <c r="B90" s="20">
        <f>_xlfn.XLOOKUP(A90, CPI!A:A, CPI!B:B, "missing",-1,1)/6.5</f>
        <v>0.21538461538461537</v>
      </c>
      <c r="C90" s="21">
        <f>_xlfn.XLOOKUP(A90, SLCI!A:A, SLCI!B:B, "missing", -1)/6.5</f>
        <v>0.29230769230769227</v>
      </c>
      <c r="D90" s="9">
        <f>_xlfn.XLOOKUP(A90, 'MaxPayPoints Transposed'!A:A, 'MaxPayPoints Transposed'!D:D, "missing", -1)/26</f>
        <v>2466</v>
      </c>
      <c r="E90" s="9">
        <f>_xlfn.XLOOKUP(A90, 'MaxPayPoints Transposed'!A:A, 'MaxPayPoints Transposed'!E:E, "missing", -1)/26</f>
        <v>2767.6538461538462</v>
      </c>
      <c r="F90" s="9">
        <f>_xlfn.XLOOKUP(A90, 'MaxPayPoints Transposed'!A:A, 'MaxPayPoints Transposed'!F:F, "missing", -1)/26</f>
        <v>3066.3461538461538</v>
      </c>
      <c r="G90" s="9">
        <f>_xlfn.XLOOKUP(A90, 'MaxPayPoints Transposed'!A:A, 'MaxPayPoints Transposed'!G:G, "missing", -1)/26</f>
        <v>3527.4230769230771</v>
      </c>
      <c r="H90" s="9">
        <f>_xlfn.XLOOKUP(A90, 'MaxPayPoints Transposed'!A:A, 'MaxPayPoints Transposed'!H:H, "missing", -1)/26</f>
        <v>4254.7307692307695</v>
      </c>
      <c r="I90" s="9">
        <f>_xlfn.XLOOKUP(A90, 'MaxPayPoints Transposed'!A:A, 'MaxPayPoints Transposed'!I:I, "missing", -1)/26</f>
        <v>5161.8461538461543</v>
      </c>
      <c r="J90" s="9">
        <f>_xlfn.XLOOKUP(A90, 'MaxPayPoints Transposed'!A:A, 'MaxPayPoints Transposed'!J:J, "missing", -1)/26</f>
        <v>5609.5</v>
      </c>
    </row>
    <row r="91" spans="1:10" x14ac:dyDescent="0.35">
      <c r="A91" s="7">
        <v>45085</v>
      </c>
      <c r="B91" s="20">
        <f>_xlfn.XLOOKUP(A91, CPI!A:A, CPI!B:B, "missing",-1,1)/6.5</f>
        <v>0.13846153846153847</v>
      </c>
      <c r="C91" s="21">
        <f>_xlfn.XLOOKUP(A91, SLCI!A:A, SLCI!B:B, "missing", -1)/6.5</f>
        <v>0.24615384615384617</v>
      </c>
      <c r="D91" s="9">
        <f>_xlfn.XLOOKUP(A91, 'MaxPayPoints Transposed'!A:A, 'MaxPayPoints Transposed'!D:D, "missing", -1)/26</f>
        <v>2466</v>
      </c>
      <c r="E91" s="9">
        <f>_xlfn.XLOOKUP(A91, 'MaxPayPoints Transposed'!A:A, 'MaxPayPoints Transposed'!E:E, "missing", -1)/26</f>
        <v>2767.6538461538462</v>
      </c>
      <c r="F91" s="9">
        <f>_xlfn.XLOOKUP(A91, 'MaxPayPoints Transposed'!A:A, 'MaxPayPoints Transposed'!F:F, "missing", -1)/26</f>
        <v>3066.3461538461538</v>
      </c>
      <c r="G91" s="9">
        <f>_xlfn.XLOOKUP(A91, 'MaxPayPoints Transposed'!A:A, 'MaxPayPoints Transposed'!G:G, "missing", -1)/26</f>
        <v>3527.4230769230771</v>
      </c>
      <c r="H91" s="9">
        <f>_xlfn.XLOOKUP(A91, 'MaxPayPoints Transposed'!A:A, 'MaxPayPoints Transposed'!H:H, "missing", -1)/26</f>
        <v>4254.7307692307695</v>
      </c>
      <c r="I91" s="9">
        <f>_xlfn.XLOOKUP(A91, 'MaxPayPoints Transposed'!A:A, 'MaxPayPoints Transposed'!I:I, "missing", -1)/26</f>
        <v>5161.8461538461543</v>
      </c>
      <c r="J91" s="9">
        <f>_xlfn.XLOOKUP(A91, 'MaxPayPoints Transposed'!A:A, 'MaxPayPoints Transposed'!J:J, "missing", -1)/26</f>
        <v>5609.5</v>
      </c>
    </row>
    <row r="92" spans="1:10" x14ac:dyDescent="0.35">
      <c r="A92" s="7">
        <v>45099</v>
      </c>
      <c r="B92" s="20">
        <f>_xlfn.XLOOKUP(A92, CPI!A:A, CPI!B:B, "missing",-1,1)/6.5</f>
        <v>0.13846153846153847</v>
      </c>
      <c r="C92" s="21">
        <f>_xlfn.XLOOKUP(A92, SLCI!A:A, SLCI!B:B, "missing", -1)/6.5</f>
        <v>0.24615384615384617</v>
      </c>
      <c r="D92" s="9">
        <f>_xlfn.XLOOKUP(A92, 'MaxPayPoints Transposed'!A:A, 'MaxPayPoints Transposed'!D:D, "missing", -1)/26</f>
        <v>2466</v>
      </c>
      <c r="E92" s="9">
        <f>_xlfn.XLOOKUP(A92, 'MaxPayPoints Transposed'!A:A, 'MaxPayPoints Transposed'!E:E, "missing", -1)/26</f>
        <v>2767.6538461538462</v>
      </c>
      <c r="F92" s="9">
        <f>_xlfn.XLOOKUP(A92, 'MaxPayPoints Transposed'!A:A, 'MaxPayPoints Transposed'!F:F, "missing", -1)/26</f>
        <v>3066.3461538461538</v>
      </c>
      <c r="G92" s="9">
        <f>_xlfn.XLOOKUP(A92, 'MaxPayPoints Transposed'!A:A, 'MaxPayPoints Transposed'!G:G, "missing", -1)/26</f>
        <v>3527.4230769230771</v>
      </c>
      <c r="H92" s="9">
        <f>_xlfn.XLOOKUP(A92, 'MaxPayPoints Transposed'!A:A, 'MaxPayPoints Transposed'!H:H, "missing", -1)/26</f>
        <v>4254.7307692307695</v>
      </c>
      <c r="I92" s="9">
        <f>_xlfn.XLOOKUP(A92, 'MaxPayPoints Transposed'!A:A, 'MaxPayPoints Transposed'!I:I, "missing", -1)/26</f>
        <v>5161.8461538461543</v>
      </c>
      <c r="J92" s="9">
        <f>_xlfn.XLOOKUP(A92, 'MaxPayPoints Transposed'!A:A, 'MaxPayPoints Transposed'!J:J, "missing", -1)/26</f>
        <v>5609.5</v>
      </c>
    </row>
    <row r="93" spans="1:10" x14ac:dyDescent="0.35">
      <c r="A93" s="7">
        <v>45113</v>
      </c>
      <c r="B93" s="20">
        <f>_xlfn.XLOOKUP(A93, CPI!A:A, CPI!B:B, "missing",-1,1)/6.5</f>
        <v>0.13846153846153847</v>
      </c>
      <c r="C93" s="21">
        <f>_xlfn.XLOOKUP(A93, SLCI!A:A, SLCI!B:B, "missing", -1)/6.5</f>
        <v>0.24615384615384617</v>
      </c>
      <c r="D93" s="9">
        <f>_xlfn.XLOOKUP(A93, 'MaxPayPoints Transposed'!A:A, 'MaxPayPoints Transposed'!D:D, "missing", -1)/26</f>
        <v>2466</v>
      </c>
      <c r="E93" s="9">
        <f>_xlfn.XLOOKUP(A93, 'MaxPayPoints Transposed'!A:A, 'MaxPayPoints Transposed'!E:E, "missing", -1)/26</f>
        <v>2767.6538461538462</v>
      </c>
      <c r="F93" s="9">
        <f>_xlfn.XLOOKUP(A93, 'MaxPayPoints Transposed'!A:A, 'MaxPayPoints Transposed'!F:F, "missing", -1)/26</f>
        <v>3066.3461538461538</v>
      </c>
      <c r="G93" s="9">
        <f>_xlfn.XLOOKUP(A93, 'MaxPayPoints Transposed'!A:A, 'MaxPayPoints Transposed'!G:G, "missing", -1)/26</f>
        <v>3527.4230769230771</v>
      </c>
      <c r="H93" s="9">
        <f>_xlfn.XLOOKUP(A93, 'MaxPayPoints Transposed'!A:A, 'MaxPayPoints Transposed'!H:H, "missing", -1)/26</f>
        <v>4254.7307692307695</v>
      </c>
      <c r="I93" s="9">
        <f>_xlfn.XLOOKUP(A93, 'MaxPayPoints Transposed'!A:A, 'MaxPayPoints Transposed'!I:I, "missing", -1)/26</f>
        <v>5161.8461538461543</v>
      </c>
      <c r="J93" s="9">
        <f>_xlfn.XLOOKUP(A93, 'MaxPayPoints Transposed'!A:A, 'MaxPayPoints Transposed'!J:J, "missing", -1)/26</f>
        <v>5609.5</v>
      </c>
    </row>
    <row r="94" spans="1:10" x14ac:dyDescent="0.35">
      <c r="A94" s="7">
        <v>45127</v>
      </c>
      <c r="B94" s="20">
        <f>_xlfn.XLOOKUP(A94, CPI!A:A, CPI!B:B, "missing",-1,1)/6.5</f>
        <v>0.13846153846153847</v>
      </c>
      <c r="C94" s="21">
        <f>_xlfn.XLOOKUP(A94, SLCI!A:A, SLCI!B:B, "missing", -1)/6.5</f>
        <v>0.24615384615384617</v>
      </c>
      <c r="D94" s="9">
        <f>_xlfn.XLOOKUP(A94, 'MaxPayPoints Transposed'!A:A, 'MaxPayPoints Transposed'!D:D, "missing", -1)/26</f>
        <v>2466</v>
      </c>
      <c r="E94" s="9">
        <f>_xlfn.XLOOKUP(A94, 'MaxPayPoints Transposed'!A:A, 'MaxPayPoints Transposed'!E:E, "missing", -1)/26</f>
        <v>2767.6538461538462</v>
      </c>
      <c r="F94" s="9">
        <f>_xlfn.XLOOKUP(A94, 'MaxPayPoints Transposed'!A:A, 'MaxPayPoints Transposed'!F:F, "missing", -1)/26</f>
        <v>3066.3461538461538</v>
      </c>
      <c r="G94" s="9">
        <f>_xlfn.XLOOKUP(A94, 'MaxPayPoints Transposed'!A:A, 'MaxPayPoints Transposed'!G:G, "missing", -1)/26</f>
        <v>3527.4230769230771</v>
      </c>
      <c r="H94" s="9">
        <f>_xlfn.XLOOKUP(A94, 'MaxPayPoints Transposed'!A:A, 'MaxPayPoints Transposed'!H:H, "missing", -1)/26</f>
        <v>4254.7307692307695</v>
      </c>
      <c r="I94" s="9">
        <f>_xlfn.XLOOKUP(A94, 'MaxPayPoints Transposed'!A:A, 'MaxPayPoints Transposed'!I:I, "missing", -1)/26</f>
        <v>5161.8461538461543</v>
      </c>
      <c r="J94" s="9">
        <f>_xlfn.XLOOKUP(A94, 'MaxPayPoints Transposed'!A:A, 'MaxPayPoints Transposed'!J:J, "missing", -1)/26</f>
        <v>5609.5</v>
      </c>
    </row>
    <row r="95" spans="1:10" x14ac:dyDescent="0.35">
      <c r="A95" s="7">
        <v>45141</v>
      </c>
      <c r="B95" s="20">
        <f>_xlfn.XLOOKUP(A95, CPI!A:A, CPI!B:B, "missing",-1,1)/6.5</f>
        <v>0.13846153846153847</v>
      </c>
      <c r="C95" s="21">
        <f>_xlfn.XLOOKUP(A95, SLCI!A:A, SLCI!B:B, "missing", -1)/6.5</f>
        <v>0.24615384615384617</v>
      </c>
      <c r="D95" s="9">
        <f>_xlfn.XLOOKUP(A95, 'MaxPayPoints Transposed'!A:A, 'MaxPayPoints Transposed'!D:D, "missing", -1)/26</f>
        <v>2466</v>
      </c>
      <c r="E95" s="9">
        <f>_xlfn.XLOOKUP(A95, 'MaxPayPoints Transposed'!A:A, 'MaxPayPoints Transposed'!E:E, "missing", -1)/26</f>
        <v>2767.6538461538462</v>
      </c>
      <c r="F95" s="9">
        <f>_xlfn.XLOOKUP(A95, 'MaxPayPoints Transposed'!A:A, 'MaxPayPoints Transposed'!F:F, "missing", -1)/26</f>
        <v>3066.3461538461538</v>
      </c>
      <c r="G95" s="9">
        <f>_xlfn.XLOOKUP(A95, 'MaxPayPoints Transposed'!A:A, 'MaxPayPoints Transposed'!G:G, "missing", -1)/26</f>
        <v>3527.4230769230771</v>
      </c>
      <c r="H95" s="9">
        <f>_xlfn.XLOOKUP(A95, 'MaxPayPoints Transposed'!A:A, 'MaxPayPoints Transposed'!H:H, "missing", -1)/26</f>
        <v>4254.7307692307695</v>
      </c>
      <c r="I95" s="9">
        <f>_xlfn.XLOOKUP(A95, 'MaxPayPoints Transposed'!A:A, 'MaxPayPoints Transposed'!I:I, "missing", -1)/26</f>
        <v>5161.8461538461543</v>
      </c>
      <c r="J95" s="9">
        <f>_xlfn.XLOOKUP(A95, 'MaxPayPoints Transposed'!A:A, 'MaxPayPoints Transposed'!J:J, "missing", -1)/26</f>
        <v>5609.5</v>
      </c>
    </row>
    <row r="96" spans="1:10" x14ac:dyDescent="0.35">
      <c r="A96" s="7">
        <v>45155</v>
      </c>
      <c r="B96" s="20">
        <f>_xlfn.XLOOKUP(A96, CPI!A:A, CPI!B:B, "missing",-1,1)/6.5</f>
        <v>0.13846153846153847</v>
      </c>
      <c r="C96" s="21">
        <f>_xlfn.XLOOKUP(A96, SLCI!A:A, SLCI!B:B, "missing", -1)/6.5</f>
        <v>0.24615384615384617</v>
      </c>
      <c r="D96" s="9">
        <f>_xlfn.XLOOKUP(A96, 'MaxPayPoints Transposed'!A:A, 'MaxPayPoints Transposed'!D:D, "missing", -1)/26</f>
        <v>2466</v>
      </c>
      <c r="E96" s="9">
        <f>_xlfn.XLOOKUP(A96, 'MaxPayPoints Transposed'!A:A, 'MaxPayPoints Transposed'!E:E, "missing", -1)/26</f>
        <v>2767.6538461538462</v>
      </c>
      <c r="F96" s="9">
        <f>_xlfn.XLOOKUP(A96, 'MaxPayPoints Transposed'!A:A, 'MaxPayPoints Transposed'!F:F, "missing", -1)/26</f>
        <v>3066.3461538461538</v>
      </c>
      <c r="G96" s="9">
        <f>_xlfn.XLOOKUP(A96, 'MaxPayPoints Transposed'!A:A, 'MaxPayPoints Transposed'!G:G, "missing", -1)/26</f>
        <v>3527.4230769230771</v>
      </c>
      <c r="H96" s="9">
        <f>_xlfn.XLOOKUP(A96, 'MaxPayPoints Transposed'!A:A, 'MaxPayPoints Transposed'!H:H, "missing", -1)/26</f>
        <v>4254.7307692307695</v>
      </c>
      <c r="I96" s="9">
        <f>_xlfn.XLOOKUP(A96, 'MaxPayPoints Transposed'!A:A, 'MaxPayPoints Transposed'!I:I, "missing", -1)/26</f>
        <v>5161.8461538461543</v>
      </c>
      <c r="J96" s="9">
        <f>_xlfn.XLOOKUP(A96, 'MaxPayPoints Transposed'!A:A, 'MaxPayPoints Transposed'!J:J, "missing", -1)/26</f>
        <v>5609.5</v>
      </c>
    </row>
    <row r="97" spans="1:10" x14ac:dyDescent="0.35">
      <c r="A97" s="7">
        <v>45169</v>
      </c>
      <c r="B97" s="20">
        <f>_xlfn.XLOOKUP(A97, CPI!A:A, CPI!B:B, "missing",-1,1)/6.5</f>
        <v>0.13846153846153847</v>
      </c>
      <c r="C97" s="21">
        <f>_xlfn.XLOOKUP(A97, SLCI!A:A, SLCI!B:B, "missing", -1)/6.5</f>
        <v>0.24615384615384617</v>
      </c>
      <c r="D97" s="9">
        <f>_xlfn.XLOOKUP(A97, 'MaxPayPoints Transposed'!A:A, 'MaxPayPoints Transposed'!D:D, "missing", -1)/26</f>
        <v>2588.4230769230771</v>
      </c>
      <c r="E97" s="9">
        <f>_xlfn.XLOOKUP(A97, 'MaxPayPoints Transposed'!A:A, 'MaxPayPoints Transposed'!E:E, "missing", -1)/26</f>
        <v>2905.0769230769229</v>
      </c>
      <c r="F97" s="9">
        <f>_xlfn.XLOOKUP(A97, 'MaxPayPoints Transposed'!A:A, 'MaxPayPoints Transposed'!F:F, "missing", -1)/26</f>
        <v>3218.5769230769229</v>
      </c>
      <c r="G97" s="9">
        <f>_xlfn.XLOOKUP(A97, 'MaxPayPoints Transposed'!A:A, 'MaxPayPoints Transposed'!G:G, "missing", -1)/26</f>
        <v>3702.5769230769229</v>
      </c>
      <c r="H97" s="9">
        <f>_xlfn.XLOOKUP(A97, 'MaxPayPoints Transposed'!A:A, 'MaxPayPoints Transposed'!H:H, "missing", -1)/26</f>
        <v>4465.9615384615381</v>
      </c>
      <c r="I97" s="9">
        <f>_xlfn.XLOOKUP(A97, 'MaxPayPoints Transposed'!A:A, 'MaxPayPoints Transposed'!I:I, "missing", -1)/26</f>
        <v>5418.1153846153848</v>
      </c>
      <c r="J97" s="9">
        <f>_xlfn.XLOOKUP(A97, 'MaxPayPoints Transposed'!A:A, 'MaxPayPoints Transposed'!J:J, "missing", -1)/26</f>
        <v>5888.0384615384619</v>
      </c>
    </row>
    <row r="98" spans="1:10" x14ac:dyDescent="0.35">
      <c r="A98" s="7">
        <v>45183</v>
      </c>
      <c r="B98" s="20">
        <f>_xlfn.XLOOKUP(A98, CPI!A:A, CPI!B:B, "missing",-1,1)/6.5</f>
        <v>0.1846153846153846</v>
      </c>
      <c r="C98" s="21">
        <f>_xlfn.XLOOKUP(A98, SLCI!A:A, SLCI!B:B, "missing", -1)/6.5</f>
        <v>0.30769230769230771</v>
      </c>
      <c r="D98" s="9">
        <f>_xlfn.XLOOKUP(A98, 'MaxPayPoints Transposed'!A:A, 'MaxPayPoints Transposed'!D:D, "missing", -1)/26</f>
        <v>2588.4230769230771</v>
      </c>
      <c r="E98" s="9">
        <f>_xlfn.XLOOKUP(A98, 'MaxPayPoints Transposed'!A:A, 'MaxPayPoints Transposed'!E:E, "missing", -1)/26</f>
        <v>2905.0769230769229</v>
      </c>
      <c r="F98" s="9">
        <f>_xlfn.XLOOKUP(A98, 'MaxPayPoints Transposed'!A:A, 'MaxPayPoints Transposed'!F:F, "missing", -1)/26</f>
        <v>3218.5769230769229</v>
      </c>
      <c r="G98" s="9">
        <f>_xlfn.XLOOKUP(A98, 'MaxPayPoints Transposed'!A:A, 'MaxPayPoints Transposed'!G:G, "missing", -1)/26</f>
        <v>3702.5769230769229</v>
      </c>
      <c r="H98" s="9">
        <f>_xlfn.XLOOKUP(A98, 'MaxPayPoints Transposed'!A:A, 'MaxPayPoints Transposed'!H:H, "missing", -1)/26</f>
        <v>4465.9615384615381</v>
      </c>
      <c r="I98" s="9">
        <f>_xlfn.XLOOKUP(A98, 'MaxPayPoints Transposed'!A:A, 'MaxPayPoints Transposed'!I:I, "missing", -1)/26</f>
        <v>5418.1153846153848</v>
      </c>
      <c r="J98" s="9">
        <f>_xlfn.XLOOKUP(A98, 'MaxPayPoints Transposed'!A:A, 'MaxPayPoints Transposed'!J:J, "missing", -1)/26</f>
        <v>5888.0384615384619</v>
      </c>
    </row>
    <row r="99" spans="1:10" x14ac:dyDescent="0.35">
      <c r="A99" s="7">
        <v>45197</v>
      </c>
      <c r="B99" s="20">
        <f>_xlfn.XLOOKUP(A99, CPI!A:A, CPI!B:B, "missing",-1,1)/6.5</f>
        <v>0.1846153846153846</v>
      </c>
      <c r="C99" s="21">
        <f>_xlfn.XLOOKUP(A99, SLCI!A:A, SLCI!B:B, "missing", -1)/6.5</f>
        <v>0.30769230769230771</v>
      </c>
      <c r="D99" s="9">
        <f>_xlfn.XLOOKUP(A99, 'MaxPayPoints Transposed'!A:A, 'MaxPayPoints Transposed'!D:D, "missing", -1)/26</f>
        <v>2588.4230769230771</v>
      </c>
      <c r="E99" s="9">
        <f>_xlfn.XLOOKUP(A99, 'MaxPayPoints Transposed'!A:A, 'MaxPayPoints Transposed'!E:E, "missing", -1)/26</f>
        <v>2905.0769230769229</v>
      </c>
      <c r="F99" s="9">
        <f>_xlfn.XLOOKUP(A99, 'MaxPayPoints Transposed'!A:A, 'MaxPayPoints Transposed'!F:F, "missing", -1)/26</f>
        <v>3218.5769230769229</v>
      </c>
      <c r="G99" s="9">
        <f>_xlfn.XLOOKUP(A99, 'MaxPayPoints Transposed'!A:A, 'MaxPayPoints Transposed'!G:G, "missing", -1)/26</f>
        <v>3702.5769230769229</v>
      </c>
      <c r="H99" s="9">
        <f>_xlfn.XLOOKUP(A99, 'MaxPayPoints Transposed'!A:A, 'MaxPayPoints Transposed'!H:H, "missing", -1)/26</f>
        <v>4465.9615384615381</v>
      </c>
      <c r="I99" s="9">
        <f>_xlfn.XLOOKUP(A99, 'MaxPayPoints Transposed'!A:A, 'MaxPayPoints Transposed'!I:I, "missing", -1)/26</f>
        <v>5418.1153846153848</v>
      </c>
      <c r="J99" s="9">
        <f>_xlfn.XLOOKUP(A99, 'MaxPayPoints Transposed'!A:A, 'MaxPayPoints Transposed'!J:J, "missing", -1)/26</f>
        <v>5888.0384615384619</v>
      </c>
    </row>
    <row r="100" spans="1:10" x14ac:dyDescent="0.35">
      <c r="A100" s="7">
        <v>45211</v>
      </c>
      <c r="B100" s="20">
        <f>_xlfn.XLOOKUP(A100, CPI!A:A, CPI!B:B, "missing",-1,1)/6.5</f>
        <v>0.1846153846153846</v>
      </c>
      <c r="C100" s="21">
        <f>_xlfn.XLOOKUP(A100, SLCI!A:A, SLCI!B:B, "missing", -1)/6.5</f>
        <v>0.30769230769230771</v>
      </c>
      <c r="D100" s="9">
        <f>_xlfn.XLOOKUP(A100, 'MaxPayPoints Transposed'!A:A, 'MaxPayPoints Transposed'!D:D, "missing", -1)/26</f>
        <v>2588.4230769230771</v>
      </c>
      <c r="E100" s="9">
        <f>_xlfn.XLOOKUP(A100, 'MaxPayPoints Transposed'!A:A, 'MaxPayPoints Transposed'!E:E, "missing", -1)/26</f>
        <v>2905.0769230769229</v>
      </c>
      <c r="F100" s="9">
        <f>_xlfn.XLOOKUP(A100, 'MaxPayPoints Transposed'!A:A, 'MaxPayPoints Transposed'!F:F, "missing", -1)/26</f>
        <v>3218.5769230769229</v>
      </c>
      <c r="G100" s="9">
        <f>_xlfn.XLOOKUP(A100, 'MaxPayPoints Transposed'!A:A, 'MaxPayPoints Transposed'!G:G, "missing", -1)/26</f>
        <v>3702.5769230769229</v>
      </c>
      <c r="H100" s="9">
        <f>_xlfn.XLOOKUP(A100, 'MaxPayPoints Transposed'!A:A, 'MaxPayPoints Transposed'!H:H, "missing", -1)/26</f>
        <v>4465.9615384615381</v>
      </c>
      <c r="I100" s="9">
        <f>_xlfn.XLOOKUP(A100, 'MaxPayPoints Transposed'!A:A, 'MaxPayPoints Transposed'!I:I, "missing", -1)/26</f>
        <v>5418.1153846153848</v>
      </c>
      <c r="J100" s="9">
        <f>_xlfn.XLOOKUP(A100, 'MaxPayPoints Transposed'!A:A, 'MaxPayPoints Transposed'!J:J, "missing", -1)/26</f>
        <v>5888.0384615384619</v>
      </c>
    </row>
    <row r="101" spans="1:10" x14ac:dyDescent="0.35">
      <c r="A101" s="7">
        <v>45225</v>
      </c>
      <c r="B101" s="20">
        <f>_xlfn.XLOOKUP(A101, CPI!A:A, CPI!B:B, "missing",-1,1)/6.5</f>
        <v>0.1846153846153846</v>
      </c>
      <c r="C101" s="21">
        <f>_xlfn.XLOOKUP(A101, SLCI!A:A, SLCI!B:B, "missing", -1)/6.5</f>
        <v>0.30769230769230771</v>
      </c>
      <c r="D101" s="9">
        <f>_xlfn.XLOOKUP(A101, 'MaxPayPoints Transposed'!A:A, 'MaxPayPoints Transposed'!D:D, "missing", -1)/26</f>
        <v>2588.4230769230771</v>
      </c>
      <c r="E101" s="9">
        <f>_xlfn.XLOOKUP(A101, 'MaxPayPoints Transposed'!A:A, 'MaxPayPoints Transposed'!E:E, "missing", -1)/26</f>
        <v>2905.0769230769229</v>
      </c>
      <c r="F101" s="9">
        <f>_xlfn.XLOOKUP(A101, 'MaxPayPoints Transposed'!A:A, 'MaxPayPoints Transposed'!F:F, "missing", -1)/26</f>
        <v>3218.5769230769229</v>
      </c>
      <c r="G101" s="9">
        <f>_xlfn.XLOOKUP(A101, 'MaxPayPoints Transposed'!A:A, 'MaxPayPoints Transposed'!G:G, "missing", -1)/26</f>
        <v>3702.5769230769229</v>
      </c>
      <c r="H101" s="9">
        <f>_xlfn.XLOOKUP(A101, 'MaxPayPoints Transposed'!A:A, 'MaxPayPoints Transposed'!H:H, "missing", -1)/26</f>
        <v>4465.9615384615381</v>
      </c>
      <c r="I101" s="9">
        <f>_xlfn.XLOOKUP(A101, 'MaxPayPoints Transposed'!A:A, 'MaxPayPoints Transposed'!I:I, "missing", -1)/26</f>
        <v>5418.1153846153848</v>
      </c>
      <c r="J101" s="9">
        <f>_xlfn.XLOOKUP(A101, 'MaxPayPoints Transposed'!A:A, 'MaxPayPoints Transposed'!J:J, "missing", -1)/26</f>
        <v>5888.0384615384619</v>
      </c>
    </row>
    <row r="102" spans="1:10" x14ac:dyDescent="0.35">
      <c r="A102" s="7">
        <v>45239</v>
      </c>
      <c r="B102" s="20">
        <f>_xlfn.XLOOKUP(A102, CPI!A:A, CPI!B:B, "missing",-1,1)/6.5</f>
        <v>0.1846153846153846</v>
      </c>
      <c r="C102" s="21">
        <f>_xlfn.XLOOKUP(A102, SLCI!A:A, SLCI!B:B, "missing", -1)/6.5</f>
        <v>0.30769230769230771</v>
      </c>
      <c r="D102" s="9">
        <f>_xlfn.XLOOKUP(A102, 'MaxPayPoints Transposed'!A:A, 'MaxPayPoints Transposed'!D:D, "missing", -1)/26</f>
        <v>2588.4230769230771</v>
      </c>
      <c r="E102" s="9">
        <f>_xlfn.XLOOKUP(A102, 'MaxPayPoints Transposed'!A:A, 'MaxPayPoints Transposed'!E:E, "missing", -1)/26</f>
        <v>2905.0769230769229</v>
      </c>
      <c r="F102" s="9">
        <f>_xlfn.XLOOKUP(A102, 'MaxPayPoints Transposed'!A:A, 'MaxPayPoints Transposed'!F:F, "missing", -1)/26</f>
        <v>3218.5769230769229</v>
      </c>
      <c r="G102" s="9">
        <f>_xlfn.XLOOKUP(A102, 'MaxPayPoints Transposed'!A:A, 'MaxPayPoints Transposed'!G:G, "missing", -1)/26</f>
        <v>3702.5769230769229</v>
      </c>
      <c r="H102" s="9">
        <f>_xlfn.XLOOKUP(A102, 'MaxPayPoints Transposed'!A:A, 'MaxPayPoints Transposed'!H:H, "missing", -1)/26</f>
        <v>4465.9615384615381</v>
      </c>
      <c r="I102" s="9">
        <f>_xlfn.XLOOKUP(A102, 'MaxPayPoints Transposed'!A:A, 'MaxPayPoints Transposed'!I:I, "missing", -1)/26</f>
        <v>5418.1153846153848</v>
      </c>
      <c r="J102" s="9">
        <f>_xlfn.XLOOKUP(A102, 'MaxPayPoints Transposed'!A:A, 'MaxPayPoints Transposed'!J:J, "missing", -1)/26</f>
        <v>5888.0384615384619</v>
      </c>
    </row>
    <row r="103" spans="1:10" x14ac:dyDescent="0.35">
      <c r="A103" s="7">
        <v>45253</v>
      </c>
      <c r="B103" s="20">
        <f>_xlfn.XLOOKUP(A103, CPI!A:A, CPI!B:B, "missing",-1,1)/6.5</f>
        <v>0.1846153846153846</v>
      </c>
      <c r="C103" s="21">
        <f>_xlfn.XLOOKUP(A103, SLCI!A:A, SLCI!B:B, "missing", -1)/6.5</f>
        <v>0.30769230769230771</v>
      </c>
      <c r="D103" s="9">
        <f>_xlfn.XLOOKUP(A103, 'MaxPayPoints Transposed'!A:A, 'MaxPayPoints Transposed'!D:D, "missing", -1)/26</f>
        <v>2588.4230769230771</v>
      </c>
      <c r="E103" s="9">
        <f>_xlfn.XLOOKUP(A103, 'MaxPayPoints Transposed'!A:A, 'MaxPayPoints Transposed'!E:E, "missing", -1)/26</f>
        <v>2905.0769230769229</v>
      </c>
      <c r="F103" s="9">
        <f>_xlfn.XLOOKUP(A103, 'MaxPayPoints Transposed'!A:A, 'MaxPayPoints Transposed'!F:F, "missing", -1)/26</f>
        <v>3218.5769230769229</v>
      </c>
      <c r="G103" s="9">
        <f>_xlfn.XLOOKUP(A103, 'MaxPayPoints Transposed'!A:A, 'MaxPayPoints Transposed'!G:G, "missing", -1)/26</f>
        <v>3702.5769230769229</v>
      </c>
      <c r="H103" s="9">
        <f>_xlfn.XLOOKUP(A103, 'MaxPayPoints Transposed'!A:A, 'MaxPayPoints Transposed'!H:H, "missing", -1)/26</f>
        <v>4465.9615384615381</v>
      </c>
      <c r="I103" s="9">
        <f>_xlfn.XLOOKUP(A103, 'MaxPayPoints Transposed'!A:A, 'MaxPayPoints Transposed'!I:I, "missing", -1)/26</f>
        <v>5418.1153846153848</v>
      </c>
      <c r="J103" s="9">
        <f>_xlfn.XLOOKUP(A103, 'MaxPayPoints Transposed'!A:A, 'MaxPayPoints Transposed'!J:J, "missing", -1)/26</f>
        <v>5888.0384615384619</v>
      </c>
    </row>
    <row r="104" spans="1:10" x14ac:dyDescent="0.35">
      <c r="A104" s="7">
        <v>45267</v>
      </c>
      <c r="B104" s="20">
        <f>_xlfn.XLOOKUP(A104, CPI!A:A, CPI!B:B, "missing",-1,1)/6.5</f>
        <v>9.2307692307692299E-2</v>
      </c>
      <c r="C104" s="21">
        <f>_xlfn.XLOOKUP(A104, SLCI!A:A, SLCI!B:B, "missing", -1)/6.5</f>
        <v>0.1846153846153846</v>
      </c>
      <c r="D104" s="9">
        <f>_xlfn.XLOOKUP(A104, 'MaxPayPoints Transposed'!A:A, 'MaxPayPoints Transposed'!D:D, "missing", -1)/26</f>
        <v>2588.4230769230771</v>
      </c>
      <c r="E104" s="9">
        <f>_xlfn.XLOOKUP(A104, 'MaxPayPoints Transposed'!A:A, 'MaxPayPoints Transposed'!E:E, "missing", -1)/26</f>
        <v>2905.0769230769229</v>
      </c>
      <c r="F104" s="9">
        <f>_xlfn.XLOOKUP(A104, 'MaxPayPoints Transposed'!A:A, 'MaxPayPoints Transposed'!F:F, "missing", -1)/26</f>
        <v>3218.5769230769229</v>
      </c>
      <c r="G104" s="9">
        <f>_xlfn.XLOOKUP(A104, 'MaxPayPoints Transposed'!A:A, 'MaxPayPoints Transposed'!G:G, "missing", -1)/26</f>
        <v>3702.5769230769229</v>
      </c>
      <c r="H104" s="9">
        <f>_xlfn.XLOOKUP(A104, 'MaxPayPoints Transposed'!A:A, 'MaxPayPoints Transposed'!H:H, "missing", -1)/26</f>
        <v>4465.9615384615381</v>
      </c>
      <c r="I104" s="9">
        <f>_xlfn.XLOOKUP(A104, 'MaxPayPoints Transposed'!A:A, 'MaxPayPoints Transposed'!I:I, "missing", -1)/26</f>
        <v>5418.1153846153848</v>
      </c>
      <c r="J104" s="9">
        <f>_xlfn.XLOOKUP(A104, 'MaxPayPoints Transposed'!A:A, 'MaxPayPoints Transposed'!J:J, "missing", -1)/26</f>
        <v>5888.0384615384619</v>
      </c>
    </row>
    <row r="105" spans="1:10" x14ac:dyDescent="0.35">
      <c r="A105" s="7">
        <v>45281</v>
      </c>
      <c r="B105" s="20">
        <f>_xlfn.XLOOKUP(A105, CPI!A:A, CPI!B:B, "missing",-1,1)/6.5</f>
        <v>9.2307692307692299E-2</v>
      </c>
      <c r="C105" s="21">
        <f>_xlfn.XLOOKUP(A105, SLCI!A:A, SLCI!B:B, "missing", -1)/6.5</f>
        <v>0.1846153846153846</v>
      </c>
      <c r="D105" s="9">
        <f>_xlfn.XLOOKUP(A105, 'MaxPayPoints Transposed'!A:A, 'MaxPayPoints Transposed'!D:D, "missing", -1)/26</f>
        <v>2588.4230769230771</v>
      </c>
      <c r="E105" s="9">
        <f>_xlfn.XLOOKUP(A105, 'MaxPayPoints Transposed'!A:A, 'MaxPayPoints Transposed'!E:E, "missing", -1)/26</f>
        <v>2905.0769230769229</v>
      </c>
      <c r="F105" s="9">
        <f>_xlfn.XLOOKUP(A105, 'MaxPayPoints Transposed'!A:A, 'MaxPayPoints Transposed'!F:F, "missing", -1)/26</f>
        <v>3218.5769230769229</v>
      </c>
      <c r="G105" s="9">
        <f>_xlfn.XLOOKUP(A105, 'MaxPayPoints Transposed'!A:A, 'MaxPayPoints Transposed'!G:G, "missing", -1)/26</f>
        <v>3702.5769230769229</v>
      </c>
      <c r="H105" s="9">
        <f>_xlfn.XLOOKUP(A105, 'MaxPayPoints Transposed'!A:A, 'MaxPayPoints Transposed'!H:H, "missing", -1)/26</f>
        <v>4465.9615384615381</v>
      </c>
      <c r="I105" s="9">
        <f>_xlfn.XLOOKUP(A105, 'MaxPayPoints Transposed'!A:A, 'MaxPayPoints Transposed'!I:I, "missing", -1)/26</f>
        <v>5418.1153846153848</v>
      </c>
      <c r="J105" s="9">
        <f>_xlfn.XLOOKUP(A105, 'MaxPayPoints Transposed'!A:A, 'MaxPayPoints Transposed'!J:J, "missing", -1)/26</f>
        <v>5888.0384615384619</v>
      </c>
    </row>
    <row r="106" spans="1:10" x14ac:dyDescent="0.35">
      <c r="A106" s="7">
        <v>45295</v>
      </c>
      <c r="B106" s="20">
        <f>_xlfn.XLOOKUP(A106, CPI!A:A, CPI!B:B, "missing",-1,1)/6.5</f>
        <v>9.2307692307692299E-2</v>
      </c>
      <c r="C106" s="21">
        <f>_xlfn.XLOOKUP(A106, SLCI!A:A, SLCI!B:B, "missing", -1)/6.5</f>
        <v>0.1846153846153846</v>
      </c>
      <c r="D106" s="9">
        <f>_xlfn.XLOOKUP(A106, 'MaxPayPoints Transposed'!A:A, 'MaxPayPoints Transposed'!D:D, "missing", -1)/26</f>
        <v>2588.4230769230771</v>
      </c>
      <c r="E106" s="9">
        <f>_xlfn.XLOOKUP(A106, 'MaxPayPoints Transposed'!A:A, 'MaxPayPoints Transposed'!E:E, "missing", -1)/26</f>
        <v>2905.0769230769229</v>
      </c>
      <c r="F106" s="9">
        <f>_xlfn.XLOOKUP(A106, 'MaxPayPoints Transposed'!A:A, 'MaxPayPoints Transposed'!F:F, "missing", -1)/26</f>
        <v>3218.5769230769229</v>
      </c>
      <c r="G106" s="9">
        <f>_xlfn.XLOOKUP(A106, 'MaxPayPoints Transposed'!A:A, 'MaxPayPoints Transposed'!G:G, "missing", -1)/26</f>
        <v>3702.5769230769229</v>
      </c>
      <c r="H106" s="9">
        <f>_xlfn.XLOOKUP(A106, 'MaxPayPoints Transposed'!A:A, 'MaxPayPoints Transposed'!H:H, "missing", -1)/26</f>
        <v>4465.9615384615381</v>
      </c>
      <c r="I106" s="9">
        <f>_xlfn.XLOOKUP(A106, 'MaxPayPoints Transposed'!A:A, 'MaxPayPoints Transposed'!I:I, "missing", -1)/26</f>
        <v>5418.1153846153848</v>
      </c>
      <c r="J106" s="9">
        <f>_xlfn.XLOOKUP(A106, 'MaxPayPoints Transposed'!A:A, 'MaxPayPoints Transposed'!J:J, "missing", -1)/26</f>
        <v>5888.0384615384619</v>
      </c>
    </row>
    <row r="107" spans="1:10" x14ac:dyDescent="0.35">
      <c r="A107" s="7">
        <v>45309</v>
      </c>
      <c r="B107" s="20">
        <f>_xlfn.XLOOKUP(A107, CPI!A:A, CPI!B:B, "missing",-1,1)/6.5</f>
        <v>9.2307692307692299E-2</v>
      </c>
      <c r="C107" s="21">
        <f>_xlfn.XLOOKUP(A107, SLCI!A:A, SLCI!B:B, "missing", -1)/6.5</f>
        <v>0.1846153846153846</v>
      </c>
      <c r="D107" s="9">
        <f>_xlfn.XLOOKUP(A107, 'MaxPayPoints Transposed'!A:A, 'MaxPayPoints Transposed'!D:D, "missing", -1)/26</f>
        <v>2588.4230769230771</v>
      </c>
      <c r="E107" s="9">
        <f>_xlfn.XLOOKUP(A107, 'MaxPayPoints Transposed'!A:A, 'MaxPayPoints Transposed'!E:E, "missing", -1)/26</f>
        <v>2905.0769230769229</v>
      </c>
      <c r="F107" s="9">
        <f>_xlfn.XLOOKUP(A107, 'MaxPayPoints Transposed'!A:A, 'MaxPayPoints Transposed'!F:F, "missing", -1)/26</f>
        <v>3218.5769230769229</v>
      </c>
      <c r="G107" s="9">
        <f>_xlfn.XLOOKUP(A107, 'MaxPayPoints Transposed'!A:A, 'MaxPayPoints Transposed'!G:G, "missing", -1)/26</f>
        <v>3702.5769230769229</v>
      </c>
      <c r="H107" s="9">
        <f>_xlfn.XLOOKUP(A107, 'MaxPayPoints Transposed'!A:A, 'MaxPayPoints Transposed'!H:H, "missing", -1)/26</f>
        <v>4465.9615384615381</v>
      </c>
      <c r="I107" s="9">
        <f>_xlfn.XLOOKUP(A107, 'MaxPayPoints Transposed'!A:A, 'MaxPayPoints Transposed'!I:I, "missing", -1)/26</f>
        <v>5418.1153846153848</v>
      </c>
      <c r="J107" s="9">
        <f>_xlfn.XLOOKUP(A107, 'MaxPayPoints Transposed'!A:A, 'MaxPayPoints Transposed'!J:J, "missing", -1)/26</f>
        <v>5888.0384615384619</v>
      </c>
    </row>
    <row r="108" spans="1:10" x14ac:dyDescent="0.35">
      <c r="A108" s="7">
        <v>45323</v>
      </c>
      <c r="B108" s="20">
        <f>_xlfn.XLOOKUP(A108, CPI!A:A, CPI!B:B, "missing",-1,1)/6.5</f>
        <v>9.2307692307692299E-2</v>
      </c>
      <c r="C108" s="21">
        <f>_xlfn.XLOOKUP(A108, SLCI!A:A, SLCI!B:B, "missing", -1)/6.5</f>
        <v>0.1846153846153846</v>
      </c>
      <c r="D108" s="9">
        <f>_xlfn.XLOOKUP(A108, 'MaxPayPoints Transposed'!A:A, 'MaxPayPoints Transposed'!D:D, "missing", -1)/26</f>
        <v>2588.4230769230771</v>
      </c>
      <c r="E108" s="9">
        <f>_xlfn.XLOOKUP(A108, 'MaxPayPoints Transposed'!A:A, 'MaxPayPoints Transposed'!E:E, "missing", -1)/26</f>
        <v>2905.0769230769229</v>
      </c>
      <c r="F108" s="9">
        <f>_xlfn.XLOOKUP(A108, 'MaxPayPoints Transposed'!A:A, 'MaxPayPoints Transposed'!F:F, "missing", -1)/26</f>
        <v>3218.5769230769229</v>
      </c>
      <c r="G108" s="9">
        <f>_xlfn.XLOOKUP(A108, 'MaxPayPoints Transposed'!A:A, 'MaxPayPoints Transposed'!G:G, "missing", -1)/26</f>
        <v>3702.5769230769229</v>
      </c>
      <c r="H108" s="9">
        <f>_xlfn.XLOOKUP(A108, 'MaxPayPoints Transposed'!A:A, 'MaxPayPoints Transposed'!H:H, "missing", -1)/26</f>
        <v>4465.9615384615381</v>
      </c>
      <c r="I108" s="9">
        <f>_xlfn.XLOOKUP(A108, 'MaxPayPoints Transposed'!A:A, 'MaxPayPoints Transposed'!I:I, "missing", -1)/26</f>
        <v>5418.1153846153848</v>
      </c>
      <c r="J108" s="9">
        <f>_xlfn.XLOOKUP(A108, 'MaxPayPoints Transposed'!A:A, 'MaxPayPoints Transposed'!J:J, "missing", -1)/26</f>
        <v>5888.0384615384619</v>
      </c>
    </row>
    <row r="109" spans="1:10" x14ac:dyDescent="0.35">
      <c r="A109" s="7">
        <v>45337</v>
      </c>
      <c r="B109" s="20">
        <f>_xlfn.XLOOKUP(A109, CPI!A:A, CPI!B:B, "missing",-1,1)/6.5</f>
        <v>9.2307692307692299E-2</v>
      </c>
      <c r="C109" s="21">
        <f>_xlfn.XLOOKUP(A109, SLCI!A:A, SLCI!B:B, "missing", -1)/6.5</f>
        <v>0.1846153846153846</v>
      </c>
      <c r="D109" s="9">
        <f>_xlfn.XLOOKUP(A109, 'MaxPayPoints Transposed'!A:A, 'MaxPayPoints Transposed'!D:D, "missing", -1)/26</f>
        <v>2588.4230769230771</v>
      </c>
      <c r="E109" s="9">
        <f>_xlfn.XLOOKUP(A109, 'MaxPayPoints Transposed'!A:A, 'MaxPayPoints Transposed'!E:E, "missing", -1)/26</f>
        <v>2905.0769230769229</v>
      </c>
      <c r="F109" s="9">
        <f>_xlfn.XLOOKUP(A109, 'MaxPayPoints Transposed'!A:A, 'MaxPayPoints Transposed'!F:F, "missing", -1)/26</f>
        <v>3218.5769230769229</v>
      </c>
      <c r="G109" s="9">
        <f>_xlfn.XLOOKUP(A109, 'MaxPayPoints Transposed'!A:A, 'MaxPayPoints Transposed'!G:G, "missing", -1)/26</f>
        <v>3702.5769230769229</v>
      </c>
      <c r="H109" s="9">
        <f>_xlfn.XLOOKUP(A109, 'MaxPayPoints Transposed'!A:A, 'MaxPayPoints Transposed'!H:H, "missing", -1)/26</f>
        <v>4465.9615384615381</v>
      </c>
      <c r="I109" s="9">
        <f>_xlfn.XLOOKUP(A109, 'MaxPayPoints Transposed'!A:A, 'MaxPayPoints Transposed'!I:I, "missing", -1)/26</f>
        <v>5418.1153846153848</v>
      </c>
      <c r="J109" s="9">
        <f>_xlfn.XLOOKUP(A109, 'MaxPayPoints Transposed'!A:A, 'MaxPayPoints Transposed'!J:J, "missing", -1)/26</f>
        <v>5888.0384615384619</v>
      </c>
    </row>
    <row r="110" spans="1:10" x14ac:dyDescent="0.35">
      <c r="A110" s="7">
        <v>45351</v>
      </c>
      <c r="B110" s="20">
        <f>_xlfn.XLOOKUP(A110, CPI!A:A, CPI!B:B, "missing",-1,1)/6.5</f>
        <v>9.2307692307692299E-2</v>
      </c>
      <c r="C110" s="21">
        <f>_xlfn.XLOOKUP(A110, SLCI!A:A, SLCI!B:B, "missing", -1)/6.5</f>
        <v>0.1846153846153846</v>
      </c>
      <c r="D110" s="9">
        <f>_xlfn.XLOOKUP(A110, 'MaxPayPoints Transposed'!A:A, 'MaxPayPoints Transposed'!D:D, "missing", -1)/26</f>
        <v>2588.4230769230771</v>
      </c>
      <c r="E110" s="9">
        <f>_xlfn.XLOOKUP(A110, 'MaxPayPoints Transposed'!A:A, 'MaxPayPoints Transposed'!E:E, "missing", -1)/26</f>
        <v>2905.0769230769229</v>
      </c>
      <c r="F110" s="9">
        <f>_xlfn.XLOOKUP(A110, 'MaxPayPoints Transposed'!A:A, 'MaxPayPoints Transposed'!F:F, "missing", -1)/26</f>
        <v>3218.5769230769229</v>
      </c>
      <c r="G110" s="9">
        <f>_xlfn.XLOOKUP(A110, 'MaxPayPoints Transposed'!A:A, 'MaxPayPoints Transposed'!G:G, "missing", -1)/26</f>
        <v>3702.5769230769229</v>
      </c>
      <c r="H110" s="9">
        <f>_xlfn.XLOOKUP(A110, 'MaxPayPoints Transposed'!A:A, 'MaxPayPoints Transposed'!H:H, "missing", -1)/26</f>
        <v>4465.9615384615381</v>
      </c>
      <c r="I110" s="9">
        <f>_xlfn.XLOOKUP(A110, 'MaxPayPoints Transposed'!A:A, 'MaxPayPoints Transposed'!I:I, "missing", -1)/26</f>
        <v>5418.1153846153848</v>
      </c>
      <c r="J110" s="9">
        <f>_xlfn.XLOOKUP(A110, 'MaxPayPoints Transposed'!A:A, 'MaxPayPoints Transposed'!J:J, "missing", -1)/26</f>
        <v>5888.0384615384619</v>
      </c>
    </row>
    <row r="111" spans="1:10" x14ac:dyDescent="0.35">
      <c r="A111" s="7">
        <v>45365</v>
      </c>
      <c r="B111" s="20">
        <f>_xlfn.XLOOKUP(A111, CPI!A:A, CPI!B:B, "missing",-1,1)/6.5</f>
        <v>0.13846153846153847</v>
      </c>
      <c r="C111" s="21">
        <f>_xlfn.XLOOKUP(A111, SLCI!A:A, SLCI!B:B, "missing", -1)/6.5</f>
        <v>0.26153846153846155</v>
      </c>
      <c r="D111" s="9">
        <f>_xlfn.XLOOKUP(A111, 'MaxPayPoints Transposed'!A:A, 'MaxPayPoints Transposed'!D:D, "missing", -1)/26</f>
        <v>2691.9615384615386</v>
      </c>
      <c r="E111" s="9">
        <f>_xlfn.XLOOKUP(A111, 'MaxPayPoints Transposed'!A:A, 'MaxPayPoints Transposed'!E:E, "missing", -1)/26</f>
        <v>3021.2692307692309</v>
      </c>
      <c r="F111" s="9">
        <f>_xlfn.XLOOKUP(A111, 'MaxPayPoints Transposed'!A:A, 'MaxPayPoints Transposed'!F:F, "missing", -1)/26</f>
        <v>3368.1538461538462</v>
      </c>
      <c r="G111" s="9">
        <f>_xlfn.XLOOKUP(A111, 'MaxPayPoints Transposed'!A:A, 'MaxPayPoints Transposed'!G:G, "missing", -1)/26</f>
        <v>3885.4615384615386</v>
      </c>
      <c r="H111" s="9">
        <f>_xlfn.XLOOKUP(A111, 'MaxPayPoints Transposed'!A:A, 'MaxPayPoints Transposed'!H:H, "missing", -1)/26</f>
        <v>4644.6153846153848</v>
      </c>
      <c r="I111" s="9">
        <f>_xlfn.XLOOKUP(A111, 'MaxPayPoints Transposed'!A:A, 'MaxPayPoints Transposed'!I:I, "missing", -1)/26</f>
        <v>5634.8461538461543</v>
      </c>
      <c r="J111" s="9">
        <f>_xlfn.XLOOKUP(A111, 'MaxPayPoints Transposed'!A:A, 'MaxPayPoints Transposed'!J:J, "missing", -1)/26</f>
        <v>6123.5769230769229</v>
      </c>
    </row>
    <row r="112" spans="1:10" x14ac:dyDescent="0.35">
      <c r="A112" s="7">
        <v>45379</v>
      </c>
      <c r="B112" s="20">
        <f>_xlfn.XLOOKUP(A112, CPI!A:A, CPI!B:B, "missing",-1,1)/6.5</f>
        <v>0.13846153846153847</v>
      </c>
      <c r="C112" s="21">
        <f>_xlfn.XLOOKUP(A112, SLCI!A:A, SLCI!B:B, "missing", -1)/6.5</f>
        <v>0.26153846153846155</v>
      </c>
      <c r="D112" s="9">
        <f>_xlfn.XLOOKUP(A112, 'MaxPayPoints Transposed'!A:A, 'MaxPayPoints Transposed'!D:D, "missing", -1)/26</f>
        <v>2691.9615384615386</v>
      </c>
      <c r="E112" s="9">
        <f>_xlfn.XLOOKUP(A112, 'MaxPayPoints Transposed'!A:A, 'MaxPayPoints Transposed'!E:E, "missing", -1)/26</f>
        <v>3021.2692307692309</v>
      </c>
      <c r="F112" s="9">
        <f>_xlfn.XLOOKUP(A112, 'MaxPayPoints Transposed'!A:A, 'MaxPayPoints Transposed'!F:F, "missing", -1)/26</f>
        <v>3368.1538461538462</v>
      </c>
      <c r="G112" s="9">
        <f>_xlfn.XLOOKUP(A112, 'MaxPayPoints Transposed'!A:A, 'MaxPayPoints Transposed'!G:G, "missing", -1)/26</f>
        <v>3885.4615384615386</v>
      </c>
      <c r="H112" s="9">
        <f>_xlfn.XLOOKUP(A112, 'MaxPayPoints Transposed'!A:A, 'MaxPayPoints Transposed'!H:H, "missing", -1)/26</f>
        <v>4644.6153846153848</v>
      </c>
      <c r="I112" s="9">
        <f>_xlfn.XLOOKUP(A112, 'MaxPayPoints Transposed'!A:A, 'MaxPayPoints Transposed'!I:I, "missing", -1)/26</f>
        <v>5634.8461538461543</v>
      </c>
      <c r="J112" s="9">
        <f>_xlfn.XLOOKUP(A112, 'MaxPayPoints Transposed'!A:A, 'MaxPayPoints Transposed'!J:J, "missing", -1)/26</f>
        <v>6123.5769230769229</v>
      </c>
    </row>
    <row r="113" spans="1:10" x14ac:dyDescent="0.35">
      <c r="A113" s="7">
        <v>45393</v>
      </c>
      <c r="B113" s="20">
        <f>_xlfn.XLOOKUP(A113, CPI!A:A, CPI!B:B, "missing",-1,1)/6.5</f>
        <v>0.13846153846153847</v>
      </c>
      <c r="C113" s="21">
        <f>_xlfn.XLOOKUP(A113, SLCI!A:A, SLCI!B:B, "missing", -1)/6.5</f>
        <v>0.26153846153846155</v>
      </c>
      <c r="D113" s="9">
        <f>_xlfn.XLOOKUP(A113, 'MaxPayPoints Transposed'!A:A, 'MaxPayPoints Transposed'!D:D, "missing", -1)/26</f>
        <v>2691.9615384615386</v>
      </c>
      <c r="E113" s="9">
        <f>_xlfn.XLOOKUP(A113, 'MaxPayPoints Transposed'!A:A, 'MaxPayPoints Transposed'!E:E, "missing", -1)/26</f>
        <v>3021.2692307692309</v>
      </c>
      <c r="F113" s="9">
        <f>_xlfn.XLOOKUP(A113, 'MaxPayPoints Transposed'!A:A, 'MaxPayPoints Transposed'!F:F, "missing", -1)/26</f>
        <v>3368.1538461538462</v>
      </c>
      <c r="G113" s="9">
        <f>_xlfn.XLOOKUP(A113, 'MaxPayPoints Transposed'!A:A, 'MaxPayPoints Transposed'!G:G, "missing", -1)/26</f>
        <v>3885.4615384615386</v>
      </c>
      <c r="H113" s="9">
        <f>_xlfn.XLOOKUP(A113, 'MaxPayPoints Transposed'!A:A, 'MaxPayPoints Transposed'!H:H, "missing", -1)/26</f>
        <v>4644.6153846153848</v>
      </c>
      <c r="I113" s="9">
        <f>_xlfn.XLOOKUP(A113, 'MaxPayPoints Transposed'!A:A, 'MaxPayPoints Transposed'!I:I, "missing", -1)/26</f>
        <v>5634.8461538461543</v>
      </c>
      <c r="J113" s="9">
        <f>_xlfn.XLOOKUP(A113, 'MaxPayPoints Transposed'!A:A, 'MaxPayPoints Transposed'!J:J, "missing", -1)/26</f>
        <v>6123.5769230769229</v>
      </c>
    </row>
    <row r="114" spans="1:10" x14ac:dyDescent="0.35">
      <c r="A114" s="7">
        <v>45407</v>
      </c>
      <c r="B114" s="20">
        <f>_xlfn.XLOOKUP(A114, CPI!A:A, CPI!B:B, "missing",-1,1)/6.5</f>
        <v>0.13846153846153847</v>
      </c>
      <c r="C114" s="21">
        <f>_xlfn.XLOOKUP(A114, SLCI!A:A, SLCI!B:B, "missing", -1)/6.5</f>
        <v>0.26153846153846155</v>
      </c>
      <c r="D114" s="9">
        <f>_xlfn.XLOOKUP(A114, 'MaxPayPoints Transposed'!A:A, 'MaxPayPoints Transposed'!D:D, "missing", -1)/26</f>
        <v>2691.9615384615386</v>
      </c>
      <c r="E114" s="9">
        <f>_xlfn.XLOOKUP(A114, 'MaxPayPoints Transposed'!A:A, 'MaxPayPoints Transposed'!E:E, "missing", -1)/26</f>
        <v>3021.2692307692309</v>
      </c>
      <c r="F114" s="9">
        <f>_xlfn.XLOOKUP(A114, 'MaxPayPoints Transposed'!A:A, 'MaxPayPoints Transposed'!F:F, "missing", -1)/26</f>
        <v>3368.1538461538462</v>
      </c>
      <c r="G114" s="9">
        <f>_xlfn.XLOOKUP(A114, 'MaxPayPoints Transposed'!A:A, 'MaxPayPoints Transposed'!G:G, "missing", -1)/26</f>
        <v>3885.4615384615386</v>
      </c>
      <c r="H114" s="9">
        <f>_xlfn.XLOOKUP(A114, 'MaxPayPoints Transposed'!A:A, 'MaxPayPoints Transposed'!H:H, "missing", -1)/26</f>
        <v>4644.6153846153848</v>
      </c>
      <c r="I114" s="9">
        <f>_xlfn.XLOOKUP(A114, 'MaxPayPoints Transposed'!A:A, 'MaxPayPoints Transposed'!I:I, "missing", -1)/26</f>
        <v>5634.8461538461543</v>
      </c>
      <c r="J114" s="9">
        <f>_xlfn.XLOOKUP(A114, 'MaxPayPoints Transposed'!A:A, 'MaxPayPoints Transposed'!J:J, "missing", -1)/26</f>
        <v>6123.5769230769229</v>
      </c>
    </row>
    <row r="115" spans="1:10" x14ac:dyDescent="0.35">
      <c r="A115" s="7">
        <v>45421</v>
      </c>
      <c r="B115" s="20">
        <f>_xlfn.XLOOKUP(A115, CPI!A:A, CPI!B:B, "missing",-1,1)/6.5</f>
        <v>0.13846153846153847</v>
      </c>
      <c r="C115" s="21">
        <f>_xlfn.XLOOKUP(A115, SLCI!A:A, SLCI!B:B, "missing", -1)/6.5</f>
        <v>0.26153846153846155</v>
      </c>
      <c r="D115" s="9">
        <f>_xlfn.XLOOKUP(A115, 'MaxPayPoints Transposed'!A:A, 'MaxPayPoints Transposed'!D:D, "missing", -1)/26</f>
        <v>2691.9615384615386</v>
      </c>
      <c r="E115" s="9">
        <f>_xlfn.XLOOKUP(A115, 'MaxPayPoints Transposed'!A:A, 'MaxPayPoints Transposed'!E:E, "missing", -1)/26</f>
        <v>3021.2692307692309</v>
      </c>
      <c r="F115" s="9">
        <f>_xlfn.XLOOKUP(A115, 'MaxPayPoints Transposed'!A:A, 'MaxPayPoints Transposed'!F:F, "missing", -1)/26</f>
        <v>3368.1538461538462</v>
      </c>
      <c r="G115" s="9">
        <f>_xlfn.XLOOKUP(A115, 'MaxPayPoints Transposed'!A:A, 'MaxPayPoints Transposed'!G:G, "missing", -1)/26</f>
        <v>3885.4615384615386</v>
      </c>
      <c r="H115" s="9">
        <f>_xlfn.XLOOKUP(A115, 'MaxPayPoints Transposed'!A:A, 'MaxPayPoints Transposed'!H:H, "missing", -1)/26</f>
        <v>4644.6153846153848</v>
      </c>
      <c r="I115" s="9">
        <f>_xlfn.XLOOKUP(A115, 'MaxPayPoints Transposed'!A:A, 'MaxPayPoints Transposed'!I:I, "missing", -1)/26</f>
        <v>5634.8461538461543</v>
      </c>
      <c r="J115" s="9">
        <f>_xlfn.XLOOKUP(A115, 'MaxPayPoints Transposed'!A:A, 'MaxPayPoints Transposed'!J:J, "missing", -1)/26</f>
        <v>6123.5769230769229</v>
      </c>
    </row>
    <row r="116" spans="1:10" x14ac:dyDescent="0.35">
      <c r="A116" s="7">
        <v>45435</v>
      </c>
      <c r="B116" s="20">
        <f>_xlfn.XLOOKUP(A116, CPI!A:A, CPI!B:B, "missing",-1,1)/6.5</f>
        <v>0.13846153846153847</v>
      </c>
      <c r="C116" s="21">
        <f>_xlfn.XLOOKUP(A116, SLCI!A:A, SLCI!B:B, "missing", -1)/6.5</f>
        <v>0.26153846153846155</v>
      </c>
      <c r="D116" s="9">
        <f>_xlfn.XLOOKUP(A116, 'MaxPayPoints Transposed'!A:A, 'MaxPayPoints Transposed'!D:D, "missing", -1)/26</f>
        <v>2691.9615384615386</v>
      </c>
      <c r="E116" s="9">
        <f>_xlfn.XLOOKUP(A116, 'MaxPayPoints Transposed'!A:A, 'MaxPayPoints Transposed'!E:E, "missing", -1)/26</f>
        <v>3021.2692307692309</v>
      </c>
      <c r="F116" s="9">
        <f>_xlfn.XLOOKUP(A116, 'MaxPayPoints Transposed'!A:A, 'MaxPayPoints Transposed'!F:F, "missing", -1)/26</f>
        <v>3368.1538461538462</v>
      </c>
      <c r="G116" s="9">
        <f>_xlfn.XLOOKUP(A116, 'MaxPayPoints Transposed'!A:A, 'MaxPayPoints Transposed'!G:G, "missing", -1)/26</f>
        <v>3885.4615384615386</v>
      </c>
      <c r="H116" s="9">
        <f>_xlfn.XLOOKUP(A116, 'MaxPayPoints Transposed'!A:A, 'MaxPayPoints Transposed'!H:H, "missing", -1)/26</f>
        <v>4644.6153846153848</v>
      </c>
      <c r="I116" s="9">
        <f>_xlfn.XLOOKUP(A116, 'MaxPayPoints Transposed'!A:A, 'MaxPayPoints Transposed'!I:I, "missing", -1)/26</f>
        <v>5634.8461538461543</v>
      </c>
      <c r="J116" s="9">
        <f>_xlfn.XLOOKUP(A116, 'MaxPayPoints Transposed'!A:A, 'MaxPayPoints Transposed'!J:J, "missing", -1)/26</f>
        <v>6123.5769230769229</v>
      </c>
    </row>
    <row r="117" spans="1:10" x14ac:dyDescent="0.35">
      <c r="A117" s="7">
        <v>45449</v>
      </c>
      <c r="B117" s="20">
        <f>_xlfn.XLOOKUP(A117, CPI!A:A, CPI!B:B, "missing",-1,1)/6.5</f>
        <v>0.15384615384615385</v>
      </c>
      <c r="C117" s="21">
        <f>_xlfn.XLOOKUP(A117, SLCI!A:A, SLCI!B:B, "missing", -1)/6.5</f>
        <v>0.2</v>
      </c>
      <c r="D117" s="9">
        <f>_xlfn.XLOOKUP(A117, 'MaxPayPoints Transposed'!A:A, 'MaxPayPoints Transposed'!D:D, "missing", -1)/26</f>
        <v>2691.9615384615386</v>
      </c>
      <c r="E117" s="9">
        <f>_xlfn.XLOOKUP(A117, 'MaxPayPoints Transposed'!A:A, 'MaxPayPoints Transposed'!E:E, "missing", -1)/26</f>
        <v>3021.2692307692309</v>
      </c>
      <c r="F117" s="9">
        <f>_xlfn.XLOOKUP(A117, 'MaxPayPoints Transposed'!A:A, 'MaxPayPoints Transposed'!F:F, "missing", -1)/26</f>
        <v>3368.1538461538462</v>
      </c>
      <c r="G117" s="9">
        <f>_xlfn.XLOOKUP(A117, 'MaxPayPoints Transposed'!A:A, 'MaxPayPoints Transposed'!G:G, "missing", -1)/26</f>
        <v>3885.4615384615386</v>
      </c>
      <c r="H117" s="9">
        <f>_xlfn.XLOOKUP(A117, 'MaxPayPoints Transposed'!A:A, 'MaxPayPoints Transposed'!H:H, "missing", -1)/26</f>
        <v>4644.6153846153848</v>
      </c>
      <c r="I117" s="9">
        <f>_xlfn.XLOOKUP(A117, 'MaxPayPoints Transposed'!A:A, 'MaxPayPoints Transposed'!I:I, "missing", -1)/26</f>
        <v>5634.8461538461543</v>
      </c>
      <c r="J117" s="9">
        <f>_xlfn.XLOOKUP(A117, 'MaxPayPoints Transposed'!A:A, 'MaxPayPoints Transposed'!J:J, "missing", -1)/26</f>
        <v>6123.5769230769229</v>
      </c>
    </row>
    <row r="118" spans="1:10" x14ac:dyDescent="0.35">
      <c r="A118" s="7">
        <v>45463</v>
      </c>
      <c r="B118" s="20">
        <f>_xlfn.XLOOKUP(A118, CPI!A:A, CPI!B:B, "missing",-1,1)/6.5</f>
        <v>0.15384615384615385</v>
      </c>
      <c r="C118" s="21">
        <f>_xlfn.XLOOKUP(A118, SLCI!A:A, SLCI!B:B, "missing", -1)/6.5</f>
        <v>0.2</v>
      </c>
      <c r="D118" s="9">
        <f>_xlfn.XLOOKUP(A118, 'MaxPayPoints Transposed'!A:A, 'MaxPayPoints Transposed'!D:D, "missing", -1)/26</f>
        <v>2691.9615384615386</v>
      </c>
      <c r="E118" s="9">
        <f>_xlfn.XLOOKUP(A118, 'MaxPayPoints Transposed'!A:A, 'MaxPayPoints Transposed'!E:E, "missing", -1)/26</f>
        <v>3021.2692307692309</v>
      </c>
      <c r="F118" s="9">
        <f>_xlfn.XLOOKUP(A118, 'MaxPayPoints Transposed'!A:A, 'MaxPayPoints Transposed'!F:F, "missing", -1)/26</f>
        <v>3368.1538461538462</v>
      </c>
      <c r="G118" s="9">
        <f>_xlfn.XLOOKUP(A118, 'MaxPayPoints Transposed'!A:A, 'MaxPayPoints Transposed'!G:G, "missing", -1)/26</f>
        <v>3885.4615384615386</v>
      </c>
      <c r="H118" s="9">
        <f>_xlfn.XLOOKUP(A118, 'MaxPayPoints Transposed'!A:A, 'MaxPayPoints Transposed'!H:H, "missing", -1)/26</f>
        <v>4644.6153846153848</v>
      </c>
      <c r="I118" s="9">
        <f>_xlfn.XLOOKUP(A118, 'MaxPayPoints Transposed'!A:A, 'MaxPayPoints Transposed'!I:I, "missing", -1)/26</f>
        <v>5634.8461538461543</v>
      </c>
      <c r="J118" s="9">
        <f>_xlfn.XLOOKUP(A118, 'MaxPayPoints Transposed'!A:A, 'MaxPayPoints Transposed'!J:J, "missing", -1)/26</f>
        <v>6123.5769230769229</v>
      </c>
    </row>
    <row r="119" spans="1:10" x14ac:dyDescent="0.35">
      <c r="A119" s="7">
        <v>45477</v>
      </c>
      <c r="B119" s="20">
        <f>_xlfn.XLOOKUP(A119, CPI!A:A, CPI!B:B, "missing",-1,1)/6.5</f>
        <v>0.15384615384615385</v>
      </c>
      <c r="C119" s="21">
        <f>_xlfn.XLOOKUP(A119, SLCI!A:A, SLCI!B:B, "missing", -1)/6.5</f>
        <v>0.2</v>
      </c>
      <c r="D119" s="9">
        <f>_xlfn.XLOOKUP(A119, 'MaxPayPoints Transposed'!A:A, 'MaxPayPoints Transposed'!D:D, "missing", -1)/26</f>
        <v>2691.9615384615386</v>
      </c>
      <c r="E119" s="9">
        <f>_xlfn.XLOOKUP(A119, 'MaxPayPoints Transposed'!A:A, 'MaxPayPoints Transposed'!E:E, "missing", -1)/26</f>
        <v>3021.2692307692309</v>
      </c>
      <c r="F119" s="9">
        <f>_xlfn.XLOOKUP(A119, 'MaxPayPoints Transposed'!A:A, 'MaxPayPoints Transposed'!F:F, "missing", -1)/26</f>
        <v>3368.1538461538462</v>
      </c>
      <c r="G119" s="9">
        <f>_xlfn.XLOOKUP(A119, 'MaxPayPoints Transposed'!A:A, 'MaxPayPoints Transposed'!G:G, "missing", -1)/26</f>
        <v>3885.4615384615386</v>
      </c>
      <c r="H119" s="9">
        <f>_xlfn.XLOOKUP(A119, 'MaxPayPoints Transposed'!A:A, 'MaxPayPoints Transposed'!H:H, "missing", -1)/26</f>
        <v>4644.6153846153848</v>
      </c>
      <c r="I119" s="9">
        <f>_xlfn.XLOOKUP(A119, 'MaxPayPoints Transposed'!A:A, 'MaxPayPoints Transposed'!I:I, "missing", -1)/26</f>
        <v>5634.8461538461543</v>
      </c>
      <c r="J119" s="9">
        <f>_xlfn.XLOOKUP(A119, 'MaxPayPoints Transposed'!A:A, 'MaxPayPoints Transposed'!J:J, "missing", -1)/26</f>
        <v>6123.5769230769229</v>
      </c>
    </row>
    <row r="120" spans="1:10" x14ac:dyDescent="0.35">
      <c r="A120" s="7">
        <v>45491</v>
      </c>
      <c r="B120" s="20">
        <f>_xlfn.XLOOKUP(A120, CPI!A:A, CPI!B:B, "missing",-1,1)/6.5</f>
        <v>0.15384615384615385</v>
      </c>
      <c r="C120" s="21">
        <f>_xlfn.XLOOKUP(A120, SLCI!A:A, SLCI!B:B, "missing", -1)/6.5</f>
        <v>0.2</v>
      </c>
      <c r="D120" s="9">
        <f>_xlfn.XLOOKUP(A120, 'MaxPayPoints Transposed'!A:A, 'MaxPayPoints Transposed'!D:D, "missing", -1)/26</f>
        <v>2691.9615384615386</v>
      </c>
      <c r="E120" s="9">
        <f>_xlfn.XLOOKUP(A120, 'MaxPayPoints Transposed'!A:A, 'MaxPayPoints Transposed'!E:E, "missing", -1)/26</f>
        <v>3021.2692307692309</v>
      </c>
      <c r="F120" s="9">
        <f>_xlfn.XLOOKUP(A120, 'MaxPayPoints Transposed'!A:A, 'MaxPayPoints Transposed'!F:F, "missing", -1)/26</f>
        <v>3368.1538461538462</v>
      </c>
      <c r="G120" s="9">
        <f>_xlfn.XLOOKUP(A120, 'MaxPayPoints Transposed'!A:A, 'MaxPayPoints Transposed'!G:G, "missing", -1)/26</f>
        <v>3885.4615384615386</v>
      </c>
      <c r="H120" s="9">
        <f>_xlfn.XLOOKUP(A120, 'MaxPayPoints Transposed'!A:A, 'MaxPayPoints Transposed'!H:H, "missing", -1)/26</f>
        <v>4644.6153846153848</v>
      </c>
      <c r="I120" s="9">
        <f>_xlfn.XLOOKUP(A120, 'MaxPayPoints Transposed'!A:A, 'MaxPayPoints Transposed'!I:I, "missing", -1)/26</f>
        <v>5634.8461538461543</v>
      </c>
      <c r="J120" s="9">
        <f>_xlfn.XLOOKUP(A120, 'MaxPayPoints Transposed'!A:A, 'MaxPayPoints Transposed'!J:J, "missing", -1)/26</f>
        <v>6123.5769230769229</v>
      </c>
    </row>
    <row r="121" spans="1:10" x14ac:dyDescent="0.35">
      <c r="A121" s="7">
        <v>45505</v>
      </c>
      <c r="B121" s="20">
        <f>_xlfn.XLOOKUP(A121, CPI!A:A, CPI!B:B, "missing",-1,1)/6.5</f>
        <v>0.15384615384615385</v>
      </c>
      <c r="C121" s="21">
        <f>_xlfn.XLOOKUP(A121, SLCI!A:A, SLCI!B:B, "missing", -1)/6.5</f>
        <v>0.2</v>
      </c>
      <c r="D121" s="9">
        <f>_xlfn.XLOOKUP(A121, 'MaxPayPoints Transposed'!A:A, 'MaxPayPoints Transposed'!D:D, "missing", -1)/26</f>
        <v>2691.9615384615386</v>
      </c>
      <c r="E121" s="9">
        <f>_xlfn.XLOOKUP(A121, 'MaxPayPoints Transposed'!A:A, 'MaxPayPoints Transposed'!E:E, "missing", -1)/26</f>
        <v>3021.2692307692309</v>
      </c>
      <c r="F121" s="9">
        <f>_xlfn.XLOOKUP(A121, 'MaxPayPoints Transposed'!A:A, 'MaxPayPoints Transposed'!F:F, "missing", -1)/26</f>
        <v>3368.1538461538462</v>
      </c>
      <c r="G121" s="9">
        <f>_xlfn.XLOOKUP(A121, 'MaxPayPoints Transposed'!A:A, 'MaxPayPoints Transposed'!G:G, "missing", -1)/26</f>
        <v>3885.4615384615386</v>
      </c>
      <c r="H121" s="9">
        <f>_xlfn.XLOOKUP(A121, 'MaxPayPoints Transposed'!A:A, 'MaxPayPoints Transposed'!H:H, "missing", -1)/26</f>
        <v>4644.6153846153848</v>
      </c>
      <c r="I121" s="9">
        <f>_xlfn.XLOOKUP(A121, 'MaxPayPoints Transposed'!A:A, 'MaxPayPoints Transposed'!I:I, "missing", -1)/26</f>
        <v>5634.8461538461543</v>
      </c>
      <c r="J121" s="9">
        <f>_xlfn.XLOOKUP(A121, 'MaxPayPoints Transposed'!A:A, 'MaxPayPoints Transposed'!J:J, "missing", -1)/26</f>
        <v>6123.5769230769229</v>
      </c>
    </row>
    <row r="122" spans="1:10" x14ac:dyDescent="0.35">
      <c r="A122" s="7">
        <v>45519</v>
      </c>
      <c r="B122" s="20">
        <f>_xlfn.XLOOKUP(A122, CPI!A:A, CPI!B:B, "missing",-1,1)/6.5</f>
        <v>0.15384615384615385</v>
      </c>
      <c r="C122" s="21">
        <f>_xlfn.XLOOKUP(A122, SLCI!A:A, SLCI!B:B, "missing", -1)/6.5</f>
        <v>0.2</v>
      </c>
      <c r="D122" s="9">
        <f>_xlfn.XLOOKUP(A122, 'MaxPayPoints Transposed'!A:A, 'MaxPayPoints Transposed'!D:D, "missing", -1)/26</f>
        <v>2691.9615384615386</v>
      </c>
      <c r="E122" s="9">
        <f>_xlfn.XLOOKUP(A122, 'MaxPayPoints Transposed'!A:A, 'MaxPayPoints Transposed'!E:E, "missing", -1)/26</f>
        <v>3021.2692307692309</v>
      </c>
      <c r="F122" s="9">
        <f>_xlfn.XLOOKUP(A122, 'MaxPayPoints Transposed'!A:A, 'MaxPayPoints Transposed'!F:F, "missing", -1)/26</f>
        <v>3368.1538461538462</v>
      </c>
      <c r="G122" s="9">
        <f>_xlfn.XLOOKUP(A122, 'MaxPayPoints Transposed'!A:A, 'MaxPayPoints Transposed'!G:G, "missing", -1)/26</f>
        <v>3885.4615384615386</v>
      </c>
      <c r="H122" s="9">
        <f>_xlfn.XLOOKUP(A122, 'MaxPayPoints Transposed'!A:A, 'MaxPayPoints Transposed'!H:H, "missing", -1)/26</f>
        <v>4644.6153846153848</v>
      </c>
      <c r="I122" s="9">
        <f>_xlfn.XLOOKUP(A122, 'MaxPayPoints Transposed'!A:A, 'MaxPayPoints Transposed'!I:I, "missing", -1)/26</f>
        <v>5634.8461538461543</v>
      </c>
      <c r="J122" s="9">
        <f>_xlfn.XLOOKUP(A122, 'MaxPayPoints Transposed'!A:A, 'MaxPayPoints Transposed'!J:J, "missing", -1)/26</f>
        <v>6123.5769230769229</v>
      </c>
    </row>
    <row r="123" spans="1:10" x14ac:dyDescent="0.35">
      <c r="A123" s="7">
        <v>45533</v>
      </c>
      <c r="B123" s="20">
        <f>_xlfn.XLOOKUP(A123, CPI!A:A, CPI!B:B, "missing",-1,1)/6.5</f>
        <v>0.15384615384615385</v>
      </c>
      <c r="C123" s="21">
        <f>_xlfn.XLOOKUP(A123, SLCI!A:A, SLCI!B:B, "missing", -1)/6.5</f>
        <v>0.2</v>
      </c>
      <c r="D123" s="9">
        <f>_xlfn.XLOOKUP(A123, 'MaxPayPoints Transposed'!A:A, 'MaxPayPoints Transposed'!D:D, "missing", -1)/26</f>
        <v>2691.9615384615386</v>
      </c>
      <c r="E123" s="9">
        <f>_xlfn.XLOOKUP(A123, 'MaxPayPoints Transposed'!A:A, 'MaxPayPoints Transposed'!E:E, "missing", -1)/26</f>
        <v>3021.2692307692309</v>
      </c>
      <c r="F123" s="9">
        <f>_xlfn.XLOOKUP(A123, 'MaxPayPoints Transposed'!A:A, 'MaxPayPoints Transposed'!F:F, "missing", -1)/26</f>
        <v>3368.1538461538462</v>
      </c>
      <c r="G123" s="9">
        <f>_xlfn.XLOOKUP(A123, 'MaxPayPoints Transposed'!A:A, 'MaxPayPoints Transposed'!G:G, "missing", -1)/26</f>
        <v>3885.4615384615386</v>
      </c>
      <c r="H123" s="9">
        <f>_xlfn.XLOOKUP(A123, 'MaxPayPoints Transposed'!A:A, 'MaxPayPoints Transposed'!H:H, "missing", -1)/26</f>
        <v>4644.6153846153848</v>
      </c>
      <c r="I123" s="9">
        <f>_xlfn.XLOOKUP(A123, 'MaxPayPoints Transposed'!A:A, 'MaxPayPoints Transposed'!I:I, "missing", -1)/26</f>
        <v>5634.8461538461543</v>
      </c>
      <c r="J123" s="9">
        <f>_xlfn.XLOOKUP(A123, 'MaxPayPoints Transposed'!A:A, 'MaxPayPoints Transposed'!J:J, "missing", -1)/26</f>
        <v>6123.5769230769229</v>
      </c>
    </row>
    <row r="124" spans="1:10" x14ac:dyDescent="0.35">
      <c r="A124" s="7">
        <v>45547</v>
      </c>
      <c r="B124" s="20">
        <f>_xlfn.XLOOKUP(A124, CPI!A:A, CPI!B:B, "missing",-1,1)/6.5</f>
        <v>3.0769230769230771E-2</v>
      </c>
      <c r="C124" s="21">
        <f>_xlfn.XLOOKUP(A124, SLCI!A:A, SLCI!B:B, "missing", -1)/6.5</f>
        <v>7.6923076923076927E-2</v>
      </c>
      <c r="D124" s="9">
        <f>_xlfn.XLOOKUP(A124, 'MaxPayPoints Transposed'!A:A, 'MaxPayPoints Transposed'!D:D, "missing", -1)/26</f>
        <v>2691.9615384615386</v>
      </c>
      <c r="E124" s="9">
        <f>_xlfn.XLOOKUP(A124, 'MaxPayPoints Transposed'!A:A, 'MaxPayPoints Transposed'!E:E, "missing", -1)/26</f>
        <v>3021.2692307692309</v>
      </c>
      <c r="F124" s="9">
        <f>_xlfn.XLOOKUP(A124, 'MaxPayPoints Transposed'!A:A, 'MaxPayPoints Transposed'!F:F, "missing", -1)/26</f>
        <v>3368.1538461538462</v>
      </c>
      <c r="G124" s="9">
        <f>_xlfn.XLOOKUP(A124, 'MaxPayPoints Transposed'!A:A, 'MaxPayPoints Transposed'!G:G, "missing", -1)/26</f>
        <v>3885.4615384615386</v>
      </c>
      <c r="H124" s="9">
        <f>_xlfn.XLOOKUP(A124, 'MaxPayPoints Transposed'!A:A, 'MaxPayPoints Transposed'!H:H, "missing", -1)/26</f>
        <v>4644.6153846153848</v>
      </c>
      <c r="I124" s="9">
        <f>_xlfn.XLOOKUP(A124, 'MaxPayPoints Transposed'!A:A, 'MaxPayPoints Transposed'!I:I, "missing", -1)/26</f>
        <v>5634.8461538461543</v>
      </c>
      <c r="J124" s="9">
        <f>_xlfn.XLOOKUP(A124, 'MaxPayPoints Transposed'!A:A, 'MaxPayPoints Transposed'!J:J, "missing", -1)/26</f>
        <v>6123.5769230769229</v>
      </c>
    </row>
    <row r="125" spans="1:10" x14ac:dyDescent="0.35">
      <c r="A125" s="7">
        <v>45561</v>
      </c>
      <c r="B125" s="20">
        <f>_xlfn.XLOOKUP(A125, CPI!A:A, CPI!B:B, "missing",-1,1)/6.5</f>
        <v>3.0769230769230771E-2</v>
      </c>
      <c r="C125" s="21">
        <f>_xlfn.XLOOKUP(A125, SLCI!A:A, SLCI!B:B, "missing", -1)/6.5</f>
        <v>7.6923076923076927E-2</v>
      </c>
      <c r="D125" s="9">
        <f>_xlfn.XLOOKUP(A125, 'MaxPayPoints Transposed'!A:A, 'MaxPayPoints Transposed'!D:D, "missing", -1)/26</f>
        <v>2691.9615384615386</v>
      </c>
      <c r="E125" s="9">
        <f>_xlfn.XLOOKUP(A125, 'MaxPayPoints Transposed'!A:A, 'MaxPayPoints Transposed'!E:E, "missing", -1)/26</f>
        <v>3021.2692307692309</v>
      </c>
      <c r="F125" s="9">
        <f>_xlfn.XLOOKUP(A125, 'MaxPayPoints Transposed'!A:A, 'MaxPayPoints Transposed'!F:F, "missing", -1)/26</f>
        <v>3368.1538461538462</v>
      </c>
      <c r="G125" s="9">
        <f>_xlfn.XLOOKUP(A125, 'MaxPayPoints Transposed'!A:A, 'MaxPayPoints Transposed'!G:G, "missing", -1)/26</f>
        <v>3885.4615384615386</v>
      </c>
      <c r="H125" s="9">
        <f>_xlfn.XLOOKUP(A125, 'MaxPayPoints Transposed'!A:A, 'MaxPayPoints Transposed'!H:H, "missing", -1)/26</f>
        <v>4644.6153846153848</v>
      </c>
      <c r="I125" s="9">
        <f>_xlfn.XLOOKUP(A125, 'MaxPayPoints Transposed'!A:A, 'MaxPayPoints Transposed'!I:I, "missing", -1)/26</f>
        <v>5634.8461538461543</v>
      </c>
      <c r="J125" s="9">
        <f>_xlfn.XLOOKUP(A125, 'MaxPayPoints Transposed'!A:A, 'MaxPayPoints Transposed'!J:J, "missing", -1)/26</f>
        <v>6123.5769230769229</v>
      </c>
    </row>
    <row r="126" spans="1:10" x14ac:dyDescent="0.35">
      <c r="A126" s="7">
        <v>45575</v>
      </c>
      <c r="B126" s="20">
        <f>_xlfn.XLOOKUP(A126, CPI!A:A, CPI!B:B, "missing",-1,1)/6.5</f>
        <v>3.0769230769230771E-2</v>
      </c>
      <c r="C126" s="21">
        <f>_xlfn.XLOOKUP(A126, SLCI!A:A, SLCI!B:B, "missing", -1)/6.5</f>
        <v>7.6923076923076927E-2</v>
      </c>
      <c r="D126" s="9">
        <f>_xlfn.XLOOKUP(A126, 'MaxPayPoints Transposed'!A:A, 'MaxPayPoints Transposed'!D:D, "missing", -1)/26</f>
        <v>2691.9615384615386</v>
      </c>
      <c r="E126" s="9">
        <f>_xlfn.XLOOKUP(A126, 'MaxPayPoints Transposed'!A:A, 'MaxPayPoints Transposed'!E:E, "missing", -1)/26</f>
        <v>3021.2692307692309</v>
      </c>
      <c r="F126" s="9">
        <f>_xlfn.XLOOKUP(A126, 'MaxPayPoints Transposed'!A:A, 'MaxPayPoints Transposed'!F:F, "missing", -1)/26</f>
        <v>3368.1538461538462</v>
      </c>
      <c r="G126" s="9">
        <f>_xlfn.XLOOKUP(A126, 'MaxPayPoints Transposed'!A:A, 'MaxPayPoints Transposed'!G:G, "missing", -1)/26</f>
        <v>3885.4615384615386</v>
      </c>
      <c r="H126" s="9">
        <f>_xlfn.XLOOKUP(A126, 'MaxPayPoints Transposed'!A:A, 'MaxPayPoints Transposed'!H:H, "missing", -1)/26</f>
        <v>4644.6153846153848</v>
      </c>
      <c r="I126" s="9">
        <f>_xlfn.XLOOKUP(A126, 'MaxPayPoints Transposed'!A:A, 'MaxPayPoints Transposed'!I:I, "missing", -1)/26</f>
        <v>5634.8461538461543</v>
      </c>
      <c r="J126" s="9">
        <f>_xlfn.XLOOKUP(A126, 'MaxPayPoints Transposed'!A:A, 'MaxPayPoints Transposed'!J:J, "missing", -1)/26</f>
        <v>6123.5769230769229</v>
      </c>
    </row>
    <row r="127" spans="1:10" x14ac:dyDescent="0.35">
      <c r="A127" s="7">
        <v>45589</v>
      </c>
      <c r="B127" s="20">
        <f>_xlfn.XLOOKUP(A127, CPI!A:A, CPI!B:B, "missing",-1,1)/6.5</f>
        <v>3.0769230769230771E-2</v>
      </c>
      <c r="C127" s="21">
        <f>_xlfn.XLOOKUP(A127, SLCI!A:A, SLCI!B:B, "missing", -1)/6.5</f>
        <v>7.6923076923076927E-2</v>
      </c>
      <c r="D127" s="9">
        <f>_xlfn.XLOOKUP(A127, 'MaxPayPoints Transposed'!A:A, 'MaxPayPoints Transposed'!D:D, "missing", -1)/26</f>
        <v>2691.9615384615386</v>
      </c>
      <c r="E127" s="9">
        <f>_xlfn.XLOOKUP(A127, 'MaxPayPoints Transposed'!A:A, 'MaxPayPoints Transposed'!E:E, "missing", -1)/26</f>
        <v>3021.2692307692309</v>
      </c>
      <c r="F127" s="9">
        <f>_xlfn.XLOOKUP(A127, 'MaxPayPoints Transposed'!A:A, 'MaxPayPoints Transposed'!F:F, "missing", -1)/26</f>
        <v>3368.1538461538462</v>
      </c>
      <c r="G127" s="9">
        <f>_xlfn.XLOOKUP(A127, 'MaxPayPoints Transposed'!A:A, 'MaxPayPoints Transposed'!G:G, "missing", -1)/26</f>
        <v>3885.4615384615386</v>
      </c>
      <c r="H127" s="9">
        <f>_xlfn.XLOOKUP(A127, 'MaxPayPoints Transposed'!A:A, 'MaxPayPoints Transposed'!H:H, "missing", -1)/26</f>
        <v>4644.6153846153848</v>
      </c>
      <c r="I127" s="9">
        <f>_xlfn.XLOOKUP(A127, 'MaxPayPoints Transposed'!A:A, 'MaxPayPoints Transposed'!I:I, "missing", -1)/26</f>
        <v>5634.8461538461543</v>
      </c>
      <c r="J127" s="9">
        <f>_xlfn.XLOOKUP(A127, 'MaxPayPoints Transposed'!A:A, 'MaxPayPoints Transposed'!J:J, "missing", -1)/26</f>
        <v>6123.5769230769229</v>
      </c>
    </row>
    <row r="128" spans="1:10" x14ac:dyDescent="0.35">
      <c r="A128" s="7">
        <v>45603</v>
      </c>
      <c r="B128" s="20">
        <f>_xlfn.XLOOKUP(A128, CPI!A:A, CPI!B:B, "missing",-1,1)/6.5</f>
        <v>3.0769230769230771E-2</v>
      </c>
      <c r="C128" s="21">
        <f>_xlfn.XLOOKUP(A128, SLCI!A:A, SLCI!B:B, "missing", -1)/6.5</f>
        <v>7.6923076923076927E-2</v>
      </c>
      <c r="D128" s="9">
        <f>_xlfn.XLOOKUP(A128, 'MaxPayPoints Transposed'!A:A, 'MaxPayPoints Transposed'!D:D, "missing", -1)/26</f>
        <v>2691.9615384615386</v>
      </c>
      <c r="E128" s="9">
        <f>_xlfn.XLOOKUP(A128, 'MaxPayPoints Transposed'!A:A, 'MaxPayPoints Transposed'!E:E, "missing", -1)/26</f>
        <v>3021.2692307692309</v>
      </c>
      <c r="F128" s="9">
        <f>_xlfn.XLOOKUP(A128, 'MaxPayPoints Transposed'!A:A, 'MaxPayPoints Transposed'!F:F, "missing", -1)/26</f>
        <v>3368.1538461538462</v>
      </c>
      <c r="G128" s="9">
        <f>_xlfn.XLOOKUP(A128, 'MaxPayPoints Transposed'!A:A, 'MaxPayPoints Transposed'!G:G, "missing", -1)/26</f>
        <v>3885.4615384615386</v>
      </c>
      <c r="H128" s="9">
        <f>_xlfn.XLOOKUP(A128, 'MaxPayPoints Transposed'!A:A, 'MaxPayPoints Transposed'!H:H, "missing", -1)/26</f>
        <v>4644.6153846153848</v>
      </c>
      <c r="I128" s="9">
        <f>_xlfn.XLOOKUP(A128, 'MaxPayPoints Transposed'!A:A, 'MaxPayPoints Transposed'!I:I, "missing", -1)/26</f>
        <v>5634.8461538461543</v>
      </c>
      <c r="J128" s="9">
        <f>_xlfn.XLOOKUP(A128, 'MaxPayPoints Transposed'!A:A, 'MaxPayPoints Transposed'!J:J, "missing", -1)/26</f>
        <v>6123.5769230769229</v>
      </c>
    </row>
    <row r="129" spans="1:10" x14ac:dyDescent="0.35">
      <c r="A129" s="7">
        <v>45617</v>
      </c>
      <c r="B129" s="20">
        <f>_xlfn.XLOOKUP(A129, CPI!A:A, CPI!B:B, "missing",-1,1)/6.5</f>
        <v>3.0769230769230771E-2</v>
      </c>
      <c r="C129" s="21">
        <f>_xlfn.XLOOKUP(A129, SLCI!A:A, SLCI!B:B, "missing", -1)/6.5</f>
        <v>7.6923076923076927E-2</v>
      </c>
      <c r="D129" s="9">
        <f>_xlfn.XLOOKUP(A129, 'MaxPayPoints Transposed'!A:A, 'MaxPayPoints Transposed'!D:D, "missing", -1)/26</f>
        <v>2691.9615384615386</v>
      </c>
      <c r="E129" s="9">
        <f>_xlfn.XLOOKUP(A129, 'MaxPayPoints Transposed'!A:A, 'MaxPayPoints Transposed'!E:E, "missing", -1)/26</f>
        <v>3021.2692307692309</v>
      </c>
      <c r="F129" s="9">
        <f>_xlfn.XLOOKUP(A129, 'MaxPayPoints Transposed'!A:A, 'MaxPayPoints Transposed'!F:F, "missing", -1)/26</f>
        <v>3368.1538461538462</v>
      </c>
      <c r="G129" s="9">
        <f>_xlfn.XLOOKUP(A129, 'MaxPayPoints Transposed'!A:A, 'MaxPayPoints Transposed'!G:G, "missing", -1)/26</f>
        <v>3885.4615384615386</v>
      </c>
      <c r="H129" s="9">
        <f>_xlfn.XLOOKUP(A129, 'MaxPayPoints Transposed'!A:A, 'MaxPayPoints Transposed'!H:H, "missing", -1)/26</f>
        <v>4644.6153846153848</v>
      </c>
      <c r="I129" s="9">
        <f>_xlfn.XLOOKUP(A129, 'MaxPayPoints Transposed'!A:A, 'MaxPayPoints Transposed'!I:I, "missing", -1)/26</f>
        <v>5634.8461538461543</v>
      </c>
      <c r="J129" s="9">
        <f>_xlfn.XLOOKUP(A129, 'MaxPayPoints Transposed'!A:A, 'MaxPayPoints Transposed'!J:J, "missing", -1)/26</f>
        <v>6123.5769230769229</v>
      </c>
    </row>
    <row r="130" spans="1:10" x14ac:dyDescent="0.35">
      <c r="A130" s="7">
        <v>45631</v>
      </c>
      <c r="B130" s="20">
        <f>_xlfn.XLOOKUP(A130, CPI!A:A, CPI!B:B, "missing",-1,1)/6.5</f>
        <v>3.0769230769230771E-2</v>
      </c>
      <c r="C130" s="21">
        <f>_xlfn.XLOOKUP(A130, SLCI!A:A, SLCI!B:B, "missing", -1)/6.5</f>
        <v>7.6923076923076927E-2</v>
      </c>
      <c r="D130" s="9">
        <f>_xlfn.XLOOKUP(A130, 'MaxPayPoints Transposed'!A:A, 'MaxPayPoints Transposed'!D:D, "missing", -1)/26</f>
        <v>2691.9615384615386</v>
      </c>
      <c r="E130" s="9">
        <f>_xlfn.XLOOKUP(A130, 'MaxPayPoints Transposed'!A:A, 'MaxPayPoints Transposed'!E:E, "missing", -1)/26</f>
        <v>3021.2692307692309</v>
      </c>
      <c r="F130" s="9">
        <f>_xlfn.XLOOKUP(A130, 'MaxPayPoints Transposed'!A:A, 'MaxPayPoints Transposed'!F:F, "missing", -1)/26</f>
        <v>3368.1538461538462</v>
      </c>
      <c r="G130" s="9">
        <f>_xlfn.XLOOKUP(A130, 'MaxPayPoints Transposed'!A:A, 'MaxPayPoints Transposed'!G:G, "missing", -1)/26</f>
        <v>3885.4615384615386</v>
      </c>
      <c r="H130" s="9">
        <f>_xlfn.XLOOKUP(A130, 'MaxPayPoints Transposed'!A:A, 'MaxPayPoints Transposed'!H:H, "missing", -1)/26</f>
        <v>4644.6153846153848</v>
      </c>
      <c r="I130" s="9">
        <f>_xlfn.XLOOKUP(A130, 'MaxPayPoints Transposed'!A:A, 'MaxPayPoints Transposed'!I:I, "missing", -1)/26</f>
        <v>5634.8461538461543</v>
      </c>
      <c r="J130" s="9">
        <f>_xlfn.XLOOKUP(A130, 'MaxPayPoints Transposed'!A:A, 'MaxPayPoints Transposed'!J:J, "missing", -1)/26</f>
        <v>6123.5769230769229</v>
      </c>
    </row>
    <row r="131" spans="1:10" x14ac:dyDescent="0.35">
      <c r="A131" s="7">
        <v>45645</v>
      </c>
      <c r="B131" s="20">
        <f>_xlfn.XLOOKUP(A131, CPI!A:A, CPI!B:B, "missing",-1,1)/6.5</f>
        <v>3.0769230769230771E-2</v>
      </c>
      <c r="C131" s="21">
        <f>_xlfn.XLOOKUP(A131, SLCI!A:A, SLCI!B:B, "missing", -1)/6.5</f>
        <v>7.6923076923076927E-2</v>
      </c>
      <c r="D131" s="9">
        <f>_xlfn.XLOOKUP(A131, 'MaxPayPoints Transposed'!A:A, 'MaxPayPoints Transposed'!D:D, "missing", -1)/26</f>
        <v>2691.9615384615386</v>
      </c>
      <c r="E131" s="9">
        <f>_xlfn.XLOOKUP(A131, 'MaxPayPoints Transposed'!A:A, 'MaxPayPoints Transposed'!E:E, "missing", -1)/26</f>
        <v>3021.2692307692309</v>
      </c>
      <c r="F131" s="9">
        <f>_xlfn.XLOOKUP(A131, 'MaxPayPoints Transposed'!A:A, 'MaxPayPoints Transposed'!F:F, "missing", -1)/26</f>
        <v>3368.1538461538462</v>
      </c>
      <c r="G131" s="9">
        <f>_xlfn.XLOOKUP(A131, 'MaxPayPoints Transposed'!A:A, 'MaxPayPoints Transposed'!G:G, "missing", -1)/26</f>
        <v>3885.4615384615386</v>
      </c>
      <c r="H131" s="9">
        <f>_xlfn.XLOOKUP(A131, 'MaxPayPoints Transposed'!A:A, 'MaxPayPoints Transposed'!H:H, "missing", -1)/26</f>
        <v>4644.6153846153848</v>
      </c>
      <c r="I131" s="9">
        <f>_xlfn.XLOOKUP(A131, 'MaxPayPoints Transposed'!A:A, 'MaxPayPoints Transposed'!I:I, "missing", -1)/26</f>
        <v>5634.8461538461543</v>
      </c>
      <c r="J131" s="9">
        <f>_xlfn.XLOOKUP(A131, 'MaxPayPoints Transposed'!A:A, 'MaxPayPoints Transposed'!J:J, "missing", -1)/26</f>
        <v>6123.5769230769229</v>
      </c>
    </row>
    <row r="132" spans="1:10" x14ac:dyDescent="0.35">
      <c r="A132" s="7">
        <v>45659</v>
      </c>
      <c r="B132" s="20">
        <f>_xlfn.XLOOKUP(A132, CPI!A:A, CPI!B:B, "missing",-1,1)/6.5</f>
        <v>3.0769230769230771E-2</v>
      </c>
      <c r="C132" s="21">
        <f>_xlfn.XLOOKUP(A132, SLCI!A:A, SLCI!B:B, "missing", -1)/6.5</f>
        <v>7.6923076923076927E-2</v>
      </c>
      <c r="D132" s="9">
        <f>_xlfn.XLOOKUP(A132, 'MaxPayPoints Transposed'!A:A, 'MaxPayPoints Transposed'!D:D, "missing", -1)/26</f>
        <v>2691.9615384615386</v>
      </c>
      <c r="E132" s="9">
        <f>_xlfn.XLOOKUP(A132, 'MaxPayPoints Transposed'!A:A, 'MaxPayPoints Transposed'!E:E, "missing", -1)/26</f>
        <v>3021.2692307692309</v>
      </c>
      <c r="F132" s="9">
        <f>_xlfn.XLOOKUP(A132, 'MaxPayPoints Transposed'!A:A, 'MaxPayPoints Transposed'!F:F, "missing", -1)/26</f>
        <v>3368.1538461538462</v>
      </c>
      <c r="G132" s="9">
        <f>_xlfn.XLOOKUP(A132, 'MaxPayPoints Transposed'!A:A, 'MaxPayPoints Transposed'!G:G, "missing", -1)/26</f>
        <v>3885.4615384615386</v>
      </c>
      <c r="H132" s="9">
        <f>_xlfn.XLOOKUP(A132, 'MaxPayPoints Transposed'!A:A, 'MaxPayPoints Transposed'!H:H, "missing", -1)/26</f>
        <v>4644.6153846153848</v>
      </c>
      <c r="I132" s="9">
        <f>_xlfn.XLOOKUP(A132, 'MaxPayPoints Transposed'!A:A, 'MaxPayPoints Transposed'!I:I, "missing", -1)/26</f>
        <v>5634.8461538461543</v>
      </c>
      <c r="J132" s="9">
        <f>_xlfn.XLOOKUP(A132, 'MaxPayPoints Transposed'!A:A, 'MaxPayPoints Transposed'!J:J, "missing", -1)/26</f>
        <v>6123.5769230769229</v>
      </c>
    </row>
    <row r="133" spans="1:10" x14ac:dyDescent="0.35">
      <c r="A133" s="7">
        <v>45673</v>
      </c>
      <c r="B133" s="20">
        <f>_xlfn.XLOOKUP(A133, CPI!A:A, CPI!B:B, "missing",-1,1)/6.5</f>
        <v>3.0769230769230771E-2</v>
      </c>
      <c r="C133" s="21">
        <f>_xlfn.XLOOKUP(A133, SLCI!A:A, SLCI!B:B, "missing", -1)/6.5</f>
        <v>7.6923076923076927E-2</v>
      </c>
      <c r="D133" s="9">
        <f>_xlfn.XLOOKUP(A133, 'MaxPayPoints Transposed'!A:A, 'MaxPayPoints Transposed'!D:D, "missing", -1)/26</f>
        <v>2691.9615384615386</v>
      </c>
      <c r="E133" s="9">
        <f>_xlfn.XLOOKUP(A133, 'MaxPayPoints Transposed'!A:A, 'MaxPayPoints Transposed'!E:E, "missing", -1)/26</f>
        <v>3021.2692307692309</v>
      </c>
      <c r="F133" s="9">
        <f>_xlfn.XLOOKUP(A133, 'MaxPayPoints Transposed'!A:A, 'MaxPayPoints Transposed'!F:F, "missing", -1)/26</f>
        <v>3368.1538461538462</v>
      </c>
      <c r="G133" s="9">
        <f>_xlfn.XLOOKUP(A133, 'MaxPayPoints Transposed'!A:A, 'MaxPayPoints Transposed'!G:G, "missing", -1)/26</f>
        <v>3885.4615384615386</v>
      </c>
      <c r="H133" s="9">
        <f>_xlfn.XLOOKUP(A133, 'MaxPayPoints Transposed'!A:A, 'MaxPayPoints Transposed'!H:H, "missing", -1)/26</f>
        <v>4644.6153846153848</v>
      </c>
      <c r="I133" s="9">
        <f>_xlfn.XLOOKUP(A133, 'MaxPayPoints Transposed'!A:A, 'MaxPayPoints Transposed'!I:I, "missing", -1)/26</f>
        <v>5634.8461538461543</v>
      </c>
      <c r="J133" s="9">
        <f>_xlfn.XLOOKUP(A133, 'MaxPayPoints Transposed'!A:A, 'MaxPayPoints Transposed'!J:J, "missing", -1)/26</f>
        <v>6123.5769230769229</v>
      </c>
    </row>
    <row r="134" spans="1:10" x14ac:dyDescent="0.35">
      <c r="A134" s="7">
        <v>45687</v>
      </c>
      <c r="B134" s="20">
        <f>_xlfn.XLOOKUP(A134, CPI!A:A, CPI!B:B, "missing",-1,1)/6.5</f>
        <v>3.0769230769230771E-2</v>
      </c>
      <c r="C134" s="21">
        <f>_xlfn.XLOOKUP(A134, SLCI!A:A, SLCI!B:B, "missing", -1)/6.5</f>
        <v>7.6923076923076927E-2</v>
      </c>
      <c r="D134" s="9">
        <f>_xlfn.XLOOKUP(A134, 'MaxPayPoints Transposed'!A:A, 'MaxPayPoints Transposed'!D:D, "missing", -1)/26</f>
        <v>2691.9615384615386</v>
      </c>
      <c r="E134" s="9">
        <f>_xlfn.XLOOKUP(A134, 'MaxPayPoints Transposed'!A:A, 'MaxPayPoints Transposed'!E:E, "missing", -1)/26</f>
        <v>3021.2692307692309</v>
      </c>
      <c r="F134" s="9">
        <f>_xlfn.XLOOKUP(A134, 'MaxPayPoints Transposed'!A:A, 'MaxPayPoints Transposed'!F:F, "missing", -1)/26</f>
        <v>3368.1538461538462</v>
      </c>
      <c r="G134" s="9">
        <f>_xlfn.XLOOKUP(A134, 'MaxPayPoints Transposed'!A:A, 'MaxPayPoints Transposed'!G:G, "missing", -1)/26</f>
        <v>3885.4615384615386</v>
      </c>
      <c r="H134" s="9">
        <f>_xlfn.XLOOKUP(A134, 'MaxPayPoints Transposed'!A:A, 'MaxPayPoints Transposed'!H:H, "missing", -1)/26</f>
        <v>4644.6153846153848</v>
      </c>
      <c r="I134" s="9">
        <f>_xlfn.XLOOKUP(A134, 'MaxPayPoints Transposed'!A:A, 'MaxPayPoints Transposed'!I:I, "missing", -1)/26</f>
        <v>5634.8461538461543</v>
      </c>
      <c r="J134" s="9">
        <f>_xlfn.XLOOKUP(A134, 'MaxPayPoints Transposed'!A:A, 'MaxPayPoints Transposed'!J:J, "missing", -1)/26</f>
        <v>6123.5769230769229</v>
      </c>
    </row>
    <row r="135" spans="1:10" x14ac:dyDescent="0.35">
      <c r="A135" s="7">
        <v>45701</v>
      </c>
      <c r="B135" s="20">
        <f>_xlfn.XLOOKUP(A135, CPI!A:A, CPI!B:B, "missing",-1,1)/6.5</f>
        <v>3.0769230769230771E-2</v>
      </c>
      <c r="C135" s="21">
        <f>_xlfn.XLOOKUP(A135, SLCI!A:A, SLCI!B:B, "missing", -1)/6.5</f>
        <v>7.6923076923076927E-2</v>
      </c>
      <c r="D135" s="9">
        <f>_xlfn.XLOOKUP(A135, 'MaxPayPoints Transposed'!A:A, 'MaxPayPoints Transposed'!D:D, "missing", -1)/26</f>
        <v>2691.9615384615386</v>
      </c>
      <c r="E135" s="9">
        <f>_xlfn.XLOOKUP(A135, 'MaxPayPoints Transposed'!A:A, 'MaxPayPoints Transposed'!E:E, "missing", -1)/26</f>
        <v>3021.2692307692309</v>
      </c>
      <c r="F135" s="9">
        <f>_xlfn.XLOOKUP(A135, 'MaxPayPoints Transposed'!A:A, 'MaxPayPoints Transposed'!F:F, "missing", -1)/26</f>
        <v>3368.1538461538462</v>
      </c>
      <c r="G135" s="9">
        <f>_xlfn.XLOOKUP(A135, 'MaxPayPoints Transposed'!A:A, 'MaxPayPoints Transposed'!G:G, "missing", -1)/26</f>
        <v>3885.4615384615386</v>
      </c>
      <c r="H135" s="9">
        <f>_xlfn.XLOOKUP(A135, 'MaxPayPoints Transposed'!A:A, 'MaxPayPoints Transposed'!H:H, "missing", -1)/26</f>
        <v>4644.6153846153848</v>
      </c>
      <c r="I135" s="9">
        <f>_xlfn.XLOOKUP(A135, 'MaxPayPoints Transposed'!A:A, 'MaxPayPoints Transposed'!I:I, "missing", -1)/26</f>
        <v>5634.8461538461543</v>
      </c>
      <c r="J135" s="9">
        <f>_xlfn.XLOOKUP(A135, 'MaxPayPoints Transposed'!A:A, 'MaxPayPoints Transposed'!J:J, "missing", -1)/26</f>
        <v>6123.5769230769229</v>
      </c>
    </row>
    <row r="136" spans="1:10" x14ac:dyDescent="0.35">
      <c r="A136" s="7">
        <v>45715</v>
      </c>
      <c r="B136" s="20">
        <f>_xlfn.XLOOKUP(A136, CPI!A:A, CPI!B:B, "missing",-1,1)/6.5</f>
        <v>3.0769230769230771E-2</v>
      </c>
      <c r="C136" s="21">
        <f>_xlfn.XLOOKUP(A136, SLCI!A:A, SLCI!B:B, "missing", -1)/6.5</f>
        <v>7.6923076923076927E-2</v>
      </c>
      <c r="D136" s="9">
        <f>_xlfn.XLOOKUP(A136, 'MaxPayPoints Transposed'!A:A, 'MaxPayPoints Transposed'!D:D, "missing", -1)/26</f>
        <v>2691.9615384615386</v>
      </c>
      <c r="E136" s="9">
        <f>_xlfn.XLOOKUP(A136, 'MaxPayPoints Transposed'!A:A, 'MaxPayPoints Transposed'!E:E, "missing", -1)/26</f>
        <v>3021.2692307692309</v>
      </c>
      <c r="F136" s="9">
        <f>_xlfn.XLOOKUP(A136, 'MaxPayPoints Transposed'!A:A, 'MaxPayPoints Transposed'!F:F, "missing", -1)/26</f>
        <v>3368.1538461538462</v>
      </c>
      <c r="G136" s="9">
        <f>_xlfn.XLOOKUP(A136, 'MaxPayPoints Transposed'!A:A, 'MaxPayPoints Transposed'!G:G, "missing", -1)/26</f>
        <v>3885.4615384615386</v>
      </c>
      <c r="H136" s="9">
        <f>_xlfn.XLOOKUP(A136, 'MaxPayPoints Transposed'!A:A, 'MaxPayPoints Transposed'!H:H, "missing", -1)/26</f>
        <v>4644.6153846153848</v>
      </c>
      <c r="I136" s="9">
        <f>_xlfn.XLOOKUP(A136, 'MaxPayPoints Transposed'!A:A, 'MaxPayPoints Transposed'!I:I, "missing", -1)/26</f>
        <v>5634.8461538461543</v>
      </c>
      <c r="J136" s="9">
        <f>_xlfn.XLOOKUP(A136, 'MaxPayPoints Transposed'!A:A, 'MaxPayPoints Transposed'!J:J, "missing", -1)/26</f>
        <v>6123.5769230769229</v>
      </c>
    </row>
    <row r="137" spans="1:10" x14ac:dyDescent="0.35">
      <c r="A137" s="7">
        <v>45729</v>
      </c>
      <c r="B137" s="20">
        <f>_xlfn.XLOOKUP(A137, CPI!A:A, CPI!B:B, "missing",-1,1)/6.5</f>
        <v>0.13846153846153847</v>
      </c>
      <c r="C137" s="21">
        <f>_xlfn.XLOOKUP(A137, SLCI!A:A, SLCI!B:B, "missing", -1)/6.5</f>
        <v>0.16923076923076924</v>
      </c>
      <c r="D137" s="9">
        <f>_xlfn.XLOOKUP(A137, 'MaxPayPoints Transposed'!A:A, 'MaxPayPoints Transposed'!D:D, "missing", -1)/26</f>
        <v>2801.4230769230771</v>
      </c>
      <c r="E137" s="9">
        <f>_xlfn.XLOOKUP(A137, 'MaxPayPoints Transposed'!A:A, 'MaxPayPoints Transposed'!E:E, "missing", -1)/26</f>
        <v>3145.1923076923076</v>
      </c>
      <c r="F137" s="9">
        <f>_xlfn.XLOOKUP(A137, 'MaxPayPoints Transposed'!A:A, 'MaxPayPoints Transposed'!F:F, "missing", -1)/26</f>
        <v>3531.1153846153848</v>
      </c>
      <c r="G137" s="9">
        <f>_xlfn.XLOOKUP(A137, 'MaxPayPoints Transposed'!A:A, 'MaxPayPoints Transposed'!G:G, "missing", -1)/26</f>
        <v>4073.4615384615386</v>
      </c>
      <c r="H137" s="9">
        <f>_xlfn.XLOOKUP(A137, 'MaxPayPoints Transposed'!A:A, 'MaxPayPoints Transposed'!H:H, "missing", -1)/26</f>
        <v>4839.6923076923076</v>
      </c>
      <c r="I137" s="9">
        <f>_xlfn.XLOOKUP(A137, 'MaxPayPoints Transposed'!A:A, 'MaxPayPoints Transposed'!I:I, "missing", -1)/26</f>
        <v>5848.9615384615381</v>
      </c>
      <c r="J137" s="9">
        <f>_xlfn.XLOOKUP(A137, 'MaxPayPoints Transposed'!A:A, 'MaxPayPoints Transposed'!J:J, "missing", -1)/26</f>
        <v>6356.2692307692305</v>
      </c>
    </row>
    <row r="138" spans="1:10" x14ac:dyDescent="0.35">
      <c r="A138" s="7">
        <v>45743</v>
      </c>
      <c r="B138" s="20">
        <f>_xlfn.XLOOKUP(A138, CPI!A:A, CPI!B:B, "missing",-1,1)/6.5</f>
        <v>0.13846153846153847</v>
      </c>
      <c r="C138" s="21">
        <f>_xlfn.XLOOKUP(A138, SLCI!A:A, SLCI!B:B, "missing", -1)/6.5</f>
        <v>0.16923076923076924</v>
      </c>
      <c r="D138" s="9">
        <f>_xlfn.XLOOKUP(A138, 'MaxPayPoints Transposed'!A:A, 'MaxPayPoints Transposed'!D:D, "missing", -1)/26</f>
        <v>2801.4230769230771</v>
      </c>
      <c r="E138" s="9">
        <f>_xlfn.XLOOKUP(A138, 'MaxPayPoints Transposed'!A:A, 'MaxPayPoints Transposed'!E:E, "missing", -1)/26</f>
        <v>3145.1923076923076</v>
      </c>
      <c r="F138" s="9">
        <f>_xlfn.XLOOKUP(A138, 'MaxPayPoints Transposed'!A:A, 'MaxPayPoints Transposed'!F:F, "missing", -1)/26</f>
        <v>3531.1153846153848</v>
      </c>
      <c r="G138" s="9">
        <f>_xlfn.XLOOKUP(A138, 'MaxPayPoints Transposed'!A:A, 'MaxPayPoints Transposed'!G:G, "missing", -1)/26</f>
        <v>4073.4615384615386</v>
      </c>
      <c r="H138" s="9">
        <f>_xlfn.XLOOKUP(A138, 'MaxPayPoints Transposed'!A:A, 'MaxPayPoints Transposed'!H:H, "missing", -1)/26</f>
        <v>4839.6923076923076</v>
      </c>
      <c r="I138" s="9">
        <f>_xlfn.XLOOKUP(A138, 'MaxPayPoints Transposed'!A:A, 'MaxPayPoints Transposed'!I:I, "missing", -1)/26</f>
        <v>5848.9615384615381</v>
      </c>
      <c r="J138" s="9">
        <f>_xlfn.XLOOKUP(A138, 'MaxPayPoints Transposed'!A:A, 'MaxPayPoints Transposed'!J:J, "missing", -1)/26</f>
        <v>6356.2692307692305</v>
      </c>
    </row>
    <row r="139" spans="1:10" x14ac:dyDescent="0.35">
      <c r="A139" s="7">
        <v>45757</v>
      </c>
      <c r="B139" s="20">
        <f>_xlfn.XLOOKUP(A139, CPI!A:A, CPI!B:B, "missing",-1,1)/6.5</f>
        <v>0.13846153846153847</v>
      </c>
      <c r="C139" s="21">
        <f>_xlfn.XLOOKUP(A139, SLCI!A:A, SLCI!B:B, "missing", -1)/6.5</f>
        <v>0.16923076923076924</v>
      </c>
      <c r="D139" s="9">
        <f>_xlfn.XLOOKUP(A139, 'MaxPayPoints Transposed'!A:A, 'MaxPayPoints Transposed'!D:D, "missing", -1)/26</f>
        <v>2801.4230769230771</v>
      </c>
      <c r="E139" s="9">
        <f>_xlfn.XLOOKUP(A139, 'MaxPayPoints Transposed'!A:A, 'MaxPayPoints Transposed'!E:E, "missing", -1)/26</f>
        <v>3145.1923076923076</v>
      </c>
      <c r="F139" s="9">
        <f>_xlfn.XLOOKUP(A139, 'MaxPayPoints Transposed'!A:A, 'MaxPayPoints Transposed'!F:F, "missing", -1)/26</f>
        <v>3531.1153846153848</v>
      </c>
      <c r="G139" s="9">
        <f>_xlfn.XLOOKUP(A139, 'MaxPayPoints Transposed'!A:A, 'MaxPayPoints Transposed'!G:G, "missing", -1)/26</f>
        <v>4073.4615384615386</v>
      </c>
      <c r="H139" s="9">
        <f>_xlfn.XLOOKUP(A139, 'MaxPayPoints Transposed'!A:A, 'MaxPayPoints Transposed'!H:H, "missing", -1)/26</f>
        <v>4839.6923076923076</v>
      </c>
      <c r="I139" s="9">
        <f>_xlfn.XLOOKUP(A139, 'MaxPayPoints Transposed'!A:A, 'MaxPayPoints Transposed'!I:I, "missing", -1)/26</f>
        <v>5848.9615384615381</v>
      </c>
      <c r="J139" s="9">
        <f>_xlfn.XLOOKUP(A139, 'MaxPayPoints Transposed'!A:A, 'MaxPayPoints Transposed'!J:J, "missing", -1)/26</f>
        <v>6356.2692307692305</v>
      </c>
    </row>
    <row r="140" spans="1:10" x14ac:dyDescent="0.35">
      <c r="A140" s="7">
        <v>45771</v>
      </c>
      <c r="B140" s="20">
        <f>_xlfn.XLOOKUP(A140, CPI!A:A, CPI!B:B, "missing",-1,1)/6.5</f>
        <v>0.13846153846153847</v>
      </c>
      <c r="C140" s="21">
        <f>_xlfn.XLOOKUP(A140, SLCI!A:A, SLCI!B:B, "missing", -1)/6.5</f>
        <v>0.16923076923076924</v>
      </c>
      <c r="D140" s="9">
        <f>_xlfn.XLOOKUP(A140, 'MaxPayPoints Transposed'!A:A, 'MaxPayPoints Transposed'!D:D, "missing", -1)/26</f>
        <v>2801.4230769230771</v>
      </c>
      <c r="E140" s="9">
        <f>_xlfn.XLOOKUP(A140, 'MaxPayPoints Transposed'!A:A, 'MaxPayPoints Transposed'!E:E, "missing", -1)/26</f>
        <v>3145.1923076923076</v>
      </c>
      <c r="F140" s="9">
        <f>_xlfn.XLOOKUP(A140, 'MaxPayPoints Transposed'!A:A, 'MaxPayPoints Transposed'!F:F, "missing", -1)/26</f>
        <v>3531.1153846153848</v>
      </c>
      <c r="G140" s="9">
        <f>_xlfn.XLOOKUP(A140, 'MaxPayPoints Transposed'!A:A, 'MaxPayPoints Transposed'!G:G, "missing", -1)/26</f>
        <v>4073.4615384615386</v>
      </c>
      <c r="H140" s="9">
        <f>_xlfn.XLOOKUP(A140, 'MaxPayPoints Transposed'!A:A, 'MaxPayPoints Transposed'!H:H, "missing", -1)/26</f>
        <v>4839.6923076923076</v>
      </c>
      <c r="I140" s="9">
        <f>_xlfn.XLOOKUP(A140, 'MaxPayPoints Transposed'!A:A, 'MaxPayPoints Transposed'!I:I, "missing", -1)/26</f>
        <v>5848.9615384615381</v>
      </c>
      <c r="J140" s="9">
        <f>_xlfn.XLOOKUP(A140, 'MaxPayPoints Transposed'!A:A, 'MaxPayPoints Transposed'!J:J, "missing", -1)/26</f>
        <v>6356.2692307692305</v>
      </c>
    </row>
    <row r="141" spans="1:10" x14ac:dyDescent="0.35">
      <c r="A141" s="7">
        <v>45785</v>
      </c>
      <c r="B141" s="20">
        <f>_xlfn.XLOOKUP(A141, CPI!A:A, CPI!B:B, "missing",-1,1)/6.5</f>
        <v>0.13846153846153847</v>
      </c>
      <c r="C141" s="21">
        <f>_xlfn.XLOOKUP(A141, SLCI!A:A, SLCI!B:B, "missing", -1)/6.5</f>
        <v>0.16923076923076924</v>
      </c>
      <c r="D141" s="9">
        <f>_xlfn.XLOOKUP(A141, 'MaxPayPoints Transposed'!A:A, 'MaxPayPoints Transposed'!D:D, "missing", -1)/26</f>
        <v>2801.4230769230771</v>
      </c>
      <c r="E141" s="9">
        <f>_xlfn.XLOOKUP(A141, 'MaxPayPoints Transposed'!A:A, 'MaxPayPoints Transposed'!E:E, "missing", -1)/26</f>
        <v>3145.1923076923076</v>
      </c>
      <c r="F141" s="9">
        <f>_xlfn.XLOOKUP(A141, 'MaxPayPoints Transposed'!A:A, 'MaxPayPoints Transposed'!F:F, "missing", -1)/26</f>
        <v>3531.1153846153848</v>
      </c>
      <c r="G141" s="9">
        <f>_xlfn.XLOOKUP(A141, 'MaxPayPoints Transposed'!A:A, 'MaxPayPoints Transposed'!G:G, "missing", -1)/26</f>
        <v>4073.4615384615386</v>
      </c>
      <c r="H141" s="9">
        <f>_xlfn.XLOOKUP(A141, 'MaxPayPoints Transposed'!A:A, 'MaxPayPoints Transposed'!H:H, "missing", -1)/26</f>
        <v>4839.6923076923076</v>
      </c>
      <c r="I141" s="9">
        <f>_xlfn.XLOOKUP(A141, 'MaxPayPoints Transposed'!A:A, 'MaxPayPoints Transposed'!I:I, "missing", -1)/26</f>
        <v>5848.9615384615381</v>
      </c>
      <c r="J141" s="9">
        <f>_xlfn.XLOOKUP(A141, 'MaxPayPoints Transposed'!A:A, 'MaxPayPoints Transposed'!J:J, "missing", -1)/26</f>
        <v>6356.2692307692305</v>
      </c>
    </row>
    <row r="142" spans="1:10" x14ac:dyDescent="0.35">
      <c r="A142" s="7">
        <v>45799</v>
      </c>
      <c r="B142" s="20">
        <f>_xlfn.XLOOKUP(A142, CPI!A:A, CPI!B:B, "missing",-1,1)/6.5</f>
        <v>0.13846153846153847</v>
      </c>
      <c r="C142" s="21">
        <f>_xlfn.XLOOKUP(A142, SLCI!A:A, SLCI!B:B, "missing", -1)/6.5</f>
        <v>0.16923076923076924</v>
      </c>
      <c r="D142" s="9">
        <f>_xlfn.XLOOKUP(A142, 'MaxPayPoints Transposed'!A:A, 'MaxPayPoints Transposed'!D:D, "missing", -1)/26</f>
        <v>2801.4230769230771</v>
      </c>
      <c r="E142" s="9">
        <f>_xlfn.XLOOKUP(A142, 'MaxPayPoints Transposed'!A:A, 'MaxPayPoints Transposed'!E:E, "missing", -1)/26</f>
        <v>3145.1923076923076</v>
      </c>
      <c r="F142" s="9">
        <f>_xlfn.XLOOKUP(A142, 'MaxPayPoints Transposed'!A:A, 'MaxPayPoints Transposed'!F:F, "missing", -1)/26</f>
        <v>3531.1153846153848</v>
      </c>
      <c r="G142" s="9">
        <f>_xlfn.XLOOKUP(A142, 'MaxPayPoints Transposed'!A:A, 'MaxPayPoints Transposed'!G:G, "missing", -1)/26</f>
        <v>4073.4615384615386</v>
      </c>
      <c r="H142" s="9">
        <f>_xlfn.XLOOKUP(A142, 'MaxPayPoints Transposed'!A:A, 'MaxPayPoints Transposed'!H:H, "missing", -1)/26</f>
        <v>4839.6923076923076</v>
      </c>
      <c r="I142" s="9">
        <f>_xlfn.XLOOKUP(A142, 'MaxPayPoints Transposed'!A:A, 'MaxPayPoints Transposed'!I:I, "missing", -1)/26</f>
        <v>5848.9615384615381</v>
      </c>
      <c r="J142" s="9">
        <f>_xlfn.XLOOKUP(A142, 'MaxPayPoints Transposed'!A:A, 'MaxPayPoints Transposed'!J:J, "missing", -1)/26</f>
        <v>6356.2692307692305</v>
      </c>
    </row>
    <row r="143" spans="1:10" x14ac:dyDescent="0.35">
      <c r="A143" s="7">
        <v>45813</v>
      </c>
      <c r="B143" s="20">
        <f>_xlfn.XLOOKUP(A143, CPI!A:A, CPI!B:B, "missing",-1,1)/6.5</f>
        <v>0.10769230769230768</v>
      </c>
      <c r="C143" s="21">
        <f>_xlfn.XLOOKUP(A143, SLCI!A:A, SLCI!B:B, "missing", -1)/6.5</f>
        <v>7.6923076923076927E-2</v>
      </c>
      <c r="D143" s="9">
        <f>_xlfn.XLOOKUP(A143, 'MaxPayPoints Transposed'!A:A, 'MaxPayPoints Transposed'!D:D, "missing", -1)/26</f>
        <v>2801.4230769230771</v>
      </c>
      <c r="E143" s="9">
        <f>_xlfn.XLOOKUP(A143, 'MaxPayPoints Transposed'!A:A, 'MaxPayPoints Transposed'!E:E, "missing", -1)/26</f>
        <v>3145.1923076923076</v>
      </c>
      <c r="F143" s="9">
        <f>_xlfn.XLOOKUP(A143, 'MaxPayPoints Transposed'!A:A, 'MaxPayPoints Transposed'!F:F, "missing", -1)/26</f>
        <v>3531.1153846153848</v>
      </c>
      <c r="G143" s="9">
        <f>_xlfn.XLOOKUP(A143, 'MaxPayPoints Transposed'!A:A, 'MaxPayPoints Transposed'!G:G, "missing", -1)/26</f>
        <v>4073.4615384615386</v>
      </c>
      <c r="H143" s="9">
        <f>_xlfn.XLOOKUP(A143, 'MaxPayPoints Transposed'!A:A, 'MaxPayPoints Transposed'!H:H, "missing", -1)/26</f>
        <v>4839.6923076923076</v>
      </c>
      <c r="I143" s="9">
        <f>_xlfn.XLOOKUP(A143, 'MaxPayPoints Transposed'!A:A, 'MaxPayPoints Transposed'!I:I, "missing", -1)/26</f>
        <v>5848.9615384615381</v>
      </c>
      <c r="J143" s="9">
        <f>_xlfn.XLOOKUP(A143, 'MaxPayPoints Transposed'!A:A, 'MaxPayPoints Transposed'!J:J, "missing", -1)/26</f>
        <v>6356.2692307692305</v>
      </c>
    </row>
    <row r="144" spans="1:10" x14ac:dyDescent="0.35">
      <c r="A144" s="7">
        <v>45827</v>
      </c>
      <c r="B144" s="20">
        <f>_xlfn.XLOOKUP(A144, CPI!A:A, CPI!B:B, "missing",-1,1)/6.5</f>
        <v>0.10769230769230768</v>
      </c>
      <c r="C144" s="21">
        <f>_xlfn.XLOOKUP(A144, SLCI!A:A, SLCI!B:B, "missing", -1)/6.5</f>
        <v>7.6923076923076927E-2</v>
      </c>
      <c r="D144" s="9">
        <f>_xlfn.XLOOKUP(A144, 'MaxPayPoints Transposed'!A:A, 'MaxPayPoints Transposed'!D:D, "missing", -1)/26</f>
        <v>2801.4230769230771</v>
      </c>
      <c r="E144" s="9">
        <f>_xlfn.XLOOKUP(A144, 'MaxPayPoints Transposed'!A:A, 'MaxPayPoints Transposed'!E:E, "missing", -1)/26</f>
        <v>3145.1923076923076</v>
      </c>
      <c r="F144" s="9">
        <f>_xlfn.XLOOKUP(A144, 'MaxPayPoints Transposed'!A:A, 'MaxPayPoints Transposed'!F:F, "missing", -1)/26</f>
        <v>3531.1153846153848</v>
      </c>
      <c r="G144" s="9">
        <f>_xlfn.XLOOKUP(A144, 'MaxPayPoints Transposed'!A:A, 'MaxPayPoints Transposed'!G:G, "missing", -1)/26</f>
        <v>4073.4615384615386</v>
      </c>
      <c r="H144" s="9">
        <f>_xlfn.XLOOKUP(A144, 'MaxPayPoints Transposed'!A:A, 'MaxPayPoints Transposed'!H:H, "missing", -1)/26</f>
        <v>4839.6923076923076</v>
      </c>
      <c r="I144" s="9">
        <f>_xlfn.XLOOKUP(A144, 'MaxPayPoints Transposed'!A:A, 'MaxPayPoints Transposed'!I:I, "missing", -1)/26</f>
        <v>5848.9615384615381</v>
      </c>
      <c r="J144" s="9">
        <f>_xlfn.XLOOKUP(A144, 'MaxPayPoints Transposed'!A:A, 'MaxPayPoints Transposed'!J:J, "missing", -1)/26</f>
        <v>6356.2692307692305</v>
      </c>
    </row>
    <row r="145" spans="1:10" x14ac:dyDescent="0.35">
      <c r="A145" s="7">
        <v>45841</v>
      </c>
      <c r="B145" s="20">
        <f>_xlfn.XLOOKUP(A145, CPI!A:A, CPI!B:B, "missing",-1,1)/6.5</f>
        <v>0.10769230769230768</v>
      </c>
      <c r="C145" s="21">
        <f>_xlfn.XLOOKUP(A145, SLCI!A:A, SLCI!B:B, "missing", -1)/6.5</f>
        <v>7.6923076923076927E-2</v>
      </c>
      <c r="D145" s="9">
        <f>_xlfn.XLOOKUP(A145, 'MaxPayPoints Transposed'!A:A, 'MaxPayPoints Transposed'!D:D, "missing", -1)/26</f>
        <v>2801.4230769230771</v>
      </c>
      <c r="E145" s="9">
        <f>_xlfn.XLOOKUP(A145, 'MaxPayPoints Transposed'!A:A, 'MaxPayPoints Transposed'!E:E, "missing", -1)/26</f>
        <v>3145.1923076923076</v>
      </c>
      <c r="F145" s="9">
        <f>_xlfn.XLOOKUP(A145, 'MaxPayPoints Transposed'!A:A, 'MaxPayPoints Transposed'!F:F, "missing", -1)/26</f>
        <v>3531.1153846153848</v>
      </c>
      <c r="G145" s="9">
        <f>_xlfn.XLOOKUP(A145, 'MaxPayPoints Transposed'!A:A, 'MaxPayPoints Transposed'!G:G, "missing", -1)/26</f>
        <v>4073.4615384615386</v>
      </c>
      <c r="H145" s="9">
        <f>_xlfn.XLOOKUP(A145, 'MaxPayPoints Transposed'!A:A, 'MaxPayPoints Transposed'!H:H, "missing", -1)/26</f>
        <v>4839.6923076923076</v>
      </c>
      <c r="I145" s="9">
        <f>_xlfn.XLOOKUP(A145, 'MaxPayPoints Transposed'!A:A, 'MaxPayPoints Transposed'!I:I, "missing", -1)/26</f>
        <v>5848.9615384615381</v>
      </c>
      <c r="J145" s="9">
        <f>_xlfn.XLOOKUP(A145, 'MaxPayPoints Transposed'!A:A, 'MaxPayPoints Transposed'!J:J, "missing", -1)/26</f>
        <v>6356.2692307692305</v>
      </c>
    </row>
    <row r="146" spans="1:10" x14ac:dyDescent="0.35">
      <c r="A146" s="7">
        <v>45855</v>
      </c>
      <c r="B146" s="20">
        <f>_xlfn.XLOOKUP(A146, CPI!A:A, CPI!B:B, "missing",-1,1)/6.5</f>
        <v>0.10769230769230768</v>
      </c>
      <c r="C146" s="21">
        <f>_xlfn.XLOOKUP(A146, SLCI!A:A, SLCI!B:B, "missing", -1)/6.5</f>
        <v>7.6923076923076927E-2</v>
      </c>
      <c r="D146" s="9">
        <f>_xlfn.XLOOKUP(A146, 'MaxPayPoints Transposed'!A:A, 'MaxPayPoints Transposed'!D:D, "missing", -1)/26</f>
        <v>2801.4230769230771</v>
      </c>
      <c r="E146" s="9">
        <f>_xlfn.XLOOKUP(A146, 'MaxPayPoints Transposed'!A:A, 'MaxPayPoints Transposed'!E:E, "missing", -1)/26</f>
        <v>3145.1923076923076</v>
      </c>
      <c r="F146" s="9">
        <f>_xlfn.XLOOKUP(A146, 'MaxPayPoints Transposed'!A:A, 'MaxPayPoints Transposed'!F:F, "missing", -1)/26</f>
        <v>3531.1153846153848</v>
      </c>
      <c r="G146" s="9">
        <f>_xlfn.XLOOKUP(A146, 'MaxPayPoints Transposed'!A:A, 'MaxPayPoints Transposed'!G:G, "missing", -1)/26</f>
        <v>4073.4615384615386</v>
      </c>
      <c r="H146" s="9">
        <f>_xlfn.XLOOKUP(A146, 'MaxPayPoints Transposed'!A:A, 'MaxPayPoints Transposed'!H:H, "missing", -1)/26</f>
        <v>4839.6923076923076</v>
      </c>
      <c r="I146" s="9">
        <f>_xlfn.XLOOKUP(A146, 'MaxPayPoints Transposed'!A:A, 'MaxPayPoints Transposed'!I:I, "missing", -1)/26</f>
        <v>5848.9615384615381</v>
      </c>
      <c r="J146" s="9">
        <f>_xlfn.XLOOKUP(A146, 'MaxPayPoints Transposed'!A:A, 'MaxPayPoints Transposed'!J:J, "missing", -1)/26</f>
        <v>6356.2692307692305</v>
      </c>
    </row>
    <row r="147" spans="1:10" x14ac:dyDescent="0.35">
      <c r="A147" s="7">
        <v>45869</v>
      </c>
      <c r="B147" s="20">
        <f>_xlfn.XLOOKUP(A147, CPI!A:A, CPI!B:B, "missing",-1,1)/6.5</f>
        <v>0.10769230769230768</v>
      </c>
      <c r="C147" s="21">
        <f>_xlfn.XLOOKUP(A147, SLCI!A:A, SLCI!B:B, "missing", -1)/6.5</f>
        <v>7.6923076923076927E-2</v>
      </c>
      <c r="D147" s="9">
        <f>_xlfn.XLOOKUP(A147, 'MaxPayPoints Transposed'!A:A, 'MaxPayPoints Transposed'!D:D, "missing", -1)/26</f>
        <v>2801.4230769230771</v>
      </c>
      <c r="E147" s="9">
        <f>_xlfn.XLOOKUP(A147, 'MaxPayPoints Transposed'!A:A, 'MaxPayPoints Transposed'!E:E, "missing", -1)/26</f>
        <v>3145.1923076923076</v>
      </c>
      <c r="F147" s="9">
        <f>_xlfn.XLOOKUP(A147, 'MaxPayPoints Transposed'!A:A, 'MaxPayPoints Transposed'!F:F, "missing", -1)/26</f>
        <v>3531.1153846153848</v>
      </c>
      <c r="G147" s="9">
        <f>_xlfn.XLOOKUP(A147, 'MaxPayPoints Transposed'!A:A, 'MaxPayPoints Transposed'!G:G, "missing", -1)/26</f>
        <v>4073.4615384615386</v>
      </c>
      <c r="H147" s="9">
        <f>_xlfn.XLOOKUP(A147, 'MaxPayPoints Transposed'!A:A, 'MaxPayPoints Transposed'!H:H, "missing", -1)/26</f>
        <v>4839.6923076923076</v>
      </c>
      <c r="I147" s="9">
        <f>_xlfn.XLOOKUP(A147, 'MaxPayPoints Transposed'!A:A, 'MaxPayPoints Transposed'!I:I, "missing", -1)/26</f>
        <v>5848.9615384615381</v>
      </c>
      <c r="J147" s="9">
        <f>_xlfn.XLOOKUP(A147, 'MaxPayPoints Transposed'!A:A, 'MaxPayPoints Transposed'!J:J, "missing", -1)/26</f>
        <v>6356.2692307692305</v>
      </c>
    </row>
    <row r="148" spans="1:10" x14ac:dyDescent="0.35">
      <c r="A148" s="7">
        <v>45883</v>
      </c>
      <c r="B148" s="20">
        <f>_xlfn.XLOOKUP(A148, CPI!A:A, CPI!B:B, "missing",-1,1)/6.5</f>
        <v>0.10769230769230768</v>
      </c>
      <c r="C148" s="21">
        <f>_xlfn.XLOOKUP(A148, SLCI!A:A, SLCI!B:B, "missing", -1)/6.5</f>
        <v>7.6923076923076927E-2</v>
      </c>
      <c r="D148" s="9">
        <f>_xlfn.XLOOKUP(A148, 'MaxPayPoints Transposed'!A:A, 'MaxPayPoints Transposed'!D:D, "missing", -1)/26</f>
        <v>2801.4230769230771</v>
      </c>
      <c r="E148" s="9">
        <f>_xlfn.XLOOKUP(A148, 'MaxPayPoints Transposed'!A:A, 'MaxPayPoints Transposed'!E:E, "missing", -1)/26</f>
        <v>3145.1923076923076</v>
      </c>
      <c r="F148" s="9">
        <f>_xlfn.XLOOKUP(A148, 'MaxPayPoints Transposed'!A:A, 'MaxPayPoints Transposed'!F:F, "missing", -1)/26</f>
        <v>3531.1153846153848</v>
      </c>
      <c r="G148" s="9">
        <f>_xlfn.XLOOKUP(A148, 'MaxPayPoints Transposed'!A:A, 'MaxPayPoints Transposed'!G:G, "missing", -1)/26</f>
        <v>4073.4615384615386</v>
      </c>
      <c r="H148" s="9">
        <f>_xlfn.XLOOKUP(A148, 'MaxPayPoints Transposed'!A:A, 'MaxPayPoints Transposed'!H:H, "missing", -1)/26</f>
        <v>4839.6923076923076</v>
      </c>
      <c r="I148" s="9">
        <f>_xlfn.XLOOKUP(A148, 'MaxPayPoints Transposed'!A:A, 'MaxPayPoints Transposed'!I:I, "missing", -1)/26</f>
        <v>5848.9615384615381</v>
      </c>
      <c r="J148" s="9">
        <f>_xlfn.XLOOKUP(A148, 'MaxPayPoints Transposed'!A:A, 'MaxPayPoints Transposed'!J:J, "missing", -1)/26</f>
        <v>6356.2692307692305</v>
      </c>
    </row>
    <row r="149" spans="1:10" x14ac:dyDescent="0.35">
      <c r="A149" s="7">
        <v>45897</v>
      </c>
      <c r="B149" s="20">
        <f>_xlfn.XLOOKUP(A149, CPI!A:A, CPI!B:B, "missing",-1,1)/6.5</f>
        <v>0.10769230769230768</v>
      </c>
      <c r="C149" s="21">
        <f>_xlfn.XLOOKUP(A149, SLCI!A:A, SLCI!B:B, "missing", -1)/6.5</f>
        <v>7.6923076923076927E-2</v>
      </c>
      <c r="D149" s="9">
        <f>_xlfn.XLOOKUP(A149, 'MaxPayPoints Transposed'!A:A, 'MaxPayPoints Transposed'!D:D, "missing", -1)/26</f>
        <v>2801.4230769230771</v>
      </c>
      <c r="E149" s="9">
        <f>_xlfn.XLOOKUP(A149, 'MaxPayPoints Transposed'!A:A, 'MaxPayPoints Transposed'!E:E, "missing", -1)/26</f>
        <v>3145.1923076923076</v>
      </c>
      <c r="F149" s="9">
        <f>_xlfn.XLOOKUP(A149, 'MaxPayPoints Transposed'!A:A, 'MaxPayPoints Transposed'!F:F, "missing", -1)/26</f>
        <v>3531.1153846153848</v>
      </c>
      <c r="G149" s="9">
        <f>_xlfn.XLOOKUP(A149, 'MaxPayPoints Transposed'!A:A, 'MaxPayPoints Transposed'!G:G, "missing", -1)/26</f>
        <v>4073.4615384615386</v>
      </c>
      <c r="H149" s="9">
        <f>_xlfn.XLOOKUP(A149, 'MaxPayPoints Transposed'!A:A, 'MaxPayPoints Transposed'!H:H, "missing", -1)/26</f>
        <v>4839.6923076923076</v>
      </c>
      <c r="I149" s="9">
        <f>_xlfn.XLOOKUP(A149, 'MaxPayPoints Transposed'!A:A, 'MaxPayPoints Transposed'!I:I, "missing", -1)/26</f>
        <v>5848.9615384615381</v>
      </c>
      <c r="J149" s="9">
        <f>_xlfn.XLOOKUP(A149, 'MaxPayPoints Transposed'!A:A, 'MaxPayPoints Transposed'!J:J, "missing", -1)/26</f>
        <v>6356.2692307692305</v>
      </c>
    </row>
    <row r="150" spans="1:10" x14ac:dyDescent="0.35">
      <c r="A150" s="7">
        <v>45911</v>
      </c>
      <c r="B150" s="20">
        <f>_xlfn.XLOOKUP(A150, CPI!A:A, CPI!B:B, "missing",-1,1)/6.5</f>
        <v>0.2</v>
      </c>
      <c r="C150" s="21">
        <f>_xlfn.XLOOKUP(A150, SLCI!A:A, SLCI!B:B, "missing", -1)/6.5</f>
        <v>9.2307692307692299E-2</v>
      </c>
      <c r="D150" s="9">
        <f>_xlfn.XLOOKUP(A150, 'MaxPayPoints Transposed'!A:A, 'MaxPayPoints Transposed'!D:D, "missing", -1)/26</f>
        <v>2801.4230769230771</v>
      </c>
      <c r="E150" s="9">
        <f>_xlfn.XLOOKUP(A150, 'MaxPayPoints Transposed'!A:A, 'MaxPayPoints Transposed'!E:E, "missing", -1)/26</f>
        <v>3145.1923076923076</v>
      </c>
      <c r="F150" s="9">
        <f>_xlfn.XLOOKUP(A150, 'MaxPayPoints Transposed'!A:A, 'MaxPayPoints Transposed'!F:F, "missing", -1)/26</f>
        <v>3531.1153846153848</v>
      </c>
      <c r="G150" s="9">
        <f>_xlfn.XLOOKUP(A150, 'MaxPayPoints Transposed'!A:A, 'MaxPayPoints Transposed'!G:G, "missing", -1)/26</f>
        <v>4073.4615384615386</v>
      </c>
      <c r="H150" s="9">
        <f>_xlfn.XLOOKUP(A150, 'MaxPayPoints Transposed'!A:A, 'MaxPayPoints Transposed'!H:H, "missing", -1)/26</f>
        <v>4839.6923076923076</v>
      </c>
      <c r="I150" s="9">
        <f>_xlfn.XLOOKUP(A150, 'MaxPayPoints Transposed'!A:A, 'MaxPayPoints Transposed'!I:I, "missing", -1)/26</f>
        <v>5848.9615384615381</v>
      </c>
      <c r="J150" s="9">
        <f>_xlfn.XLOOKUP(A150, 'MaxPayPoints Transposed'!A:A, 'MaxPayPoints Transposed'!J:J, "missing", -1)/26</f>
        <v>6356.2692307692305</v>
      </c>
    </row>
    <row r="151" spans="1:10" x14ac:dyDescent="0.35">
      <c r="A151" s="7">
        <v>45925</v>
      </c>
      <c r="B151" s="20">
        <f>_xlfn.XLOOKUP(A151, CPI!A:A, CPI!B:B, "missing",-1,1)/6.5</f>
        <v>0.2</v>
      </c>
      <c r="C151" s="21">
        <f>_xlfn.XLOOKUP(A151, SLCI!A:A, SLCI!B:B, "missing", -1)/6.5</f>
        <v>9.2307692307692299E-2</v>
      </c>
      <c r="D151" s="9">
        <f>_xlfn.XLOOKUP(A151, 'MaxPayPoints Transposed'!A:A, 'MaxPayPoints Transposed'!D:D, "missing", -1)/26</f>
        <v>2801.4230769230771</v>
      </c>
      <c r="E151" s="9">
        <f>_xlfn.XLOOKUP(A151, 'MaxPayPoints Transposed'!A:A, 'MaxPayPoints Transposed'!E:E, "missing", -1)/26</f>
        <v>3145.1923076923076</v>
      </c>
      <c r="F151" s="9">
        <f>_xlfn.XLOOKUP(A151, 'MaxPayPoints Transposed'!A:A, 'MaxPayPoints Transposed'!F:F, "missing", -1)/26</f>
        <v>3531.1153846153848</v>
      </c>
      <c r="G151" s="9">
        <f>_xlfn.XLOOKUP(A151, 'MaxPayPoints Transposed'!A:A, 'MaxPayPoints Transposed'!G:G, "missing", -1)/26</f>
        <v>4073.4615384615386</v>
      </c>
      <c r="H151" s="9">
        <f>_xlfn.XLOOKUP(A151, 'MaxPayPoints Transposed'!A:A, 'MaxPayPoints Transposed'!H:H, "missing", -1)/26</f>
        <v>4839.6923076923076</v>
      </c>
      <c r="I151" s="9">
        <f>_xlfn.XLOOKUP(A151, 'MaxPayPoints Transposed'!A:A, 'MaxPayPoints Transposed'!I:I, "missing", -1)/26</f>
        <v>5848.9615384615381</v>
      </c>
      <c r="J151" s="9">
        <f>_xlfn.XLOOKUP(A151, 'MaxPayPoints Transposed'!A:A, 'MaxPayPoints Transposed'!J:J, "missing", -1)/26</f>
        <v>6356.2692307692305</v>
      </c>
    </row>
    <row r="152" spans="1:10" x14ac:dyDescent="0.35">
      <c r="A152" s="7">
        <v>45939</v>
      </c>
      <c r="B152" s="20">
        <f>_xlfn.XLOOKUP(A152, CPI!A:A, CPI!B:B, "missing",-1,1)/6.5</f>
        <v>0.2</v>
      </c>
      <c r="C152" s="21">
        <f>_xlfn.XLOOKUP(A152, SLCI!A:A, SLCI!B:B, "missing", -1)/6.5</f>
        <v>9.2307692307692299E-2</v>
      </c>
      <c r="D152" s="9">
        <f>_xlfn.XLOOKUP(A152, 'MaxPayPoints Transposed'!A:A, 'MaxPayPoints Transposed'!D:D, "missing", -1)/26</f>
        <v>2801.4230769230771</v>
      </c>
      <c r="E152" s="9">
        <f>_xlfn.XLOOKUP(A152, 'MaxPayPoints Transposed'!A:A, 'MaxPayPoints Transposed'!E:E, "missing", -1)/26</f>
        <v>3145.1923076923076</v>
      </c>
      <c r="F152" s="9">
        <f>_xlfn.XLOOKUP(A152, 'MaxPayPoints Transposed'!A:A, 'MaxPayPoints Transposed'!F:F, "missing", -1)/26</f>
        <v>3531.1153846153848</v>
      </c>
      <c r="G152" s="9">
        <f>_xlfn.XLOOKUP(A152, 'MaxPayPoints Transposed'!A:A, 'MaxPayPoints Transposed'!G:G, "missing", -1)/26</f>
        <v>4073.4615384615386</v>
      </c>
      <c r="H152" s="9">
        <f>_xlfn.XLOOKUP(A152, 'MaxPayPoints Transposed'!A:A, 'MaxPayPoints Transposed'!H:H, "missing", -1)/26</f>
        <v>4839.6923076923076</v>
      </c>
      <c r="I152" s="9">
        <f>_xlfn.XLOOKUP(A152, 'MaxPayPoints Transposed'!A:A, 'MaxPayPoints Transposed'!I:I, "missing", -1)/26</f>
        <v>5848.9615384615381</v>
      </c>
      <c r="J152" s="9">
        <f>_xlfn.XLOOKUP(A152, 'MaxPayPoints Transposed'!A:A, 'MaxPayPoints Transposed'!J:J, "missing", -1)/26</f>
        <v>6356.2692307692305</v>
      </c>
    </row>
    <row r="153" spans="1:10" x14ac:dyDescent="0.35">
      <c r="A153" s="7">
        <v>45953</v>
      </c>
      <c r="B153" s="20">
        <f>_xlfn.XLOOKUP(A153, CPI!A:A, CPI!B:B, "missing",-1,1)/6.5</f>
        <v>0.2</v>
      </c>
      <c r="C153" s="21">
        <f>_xlfn.XLOOKUP(A153, SLCI!A:A, SLCI!B:B, "missing", -1)/6.5</f>
        <v>9.2307692307692299E-2</v>
      </c>
      <c r="D153" s="9">
        <f>_xlfn.XLOOKUP(A153, 'MaxPayPoints Transposed'!A:A, 'MaxPayPoints Transposed'!D:D, "missing", -1)/26</f>
        <v>2801.4230769230771</v>
      </c>
      <c r="E153" s="9">
        <f>_xlfn.XLOOKUP(A153, 'MaxPayPoints Transposed'!A:A, 'MaxPayPoints Transposed'!E:E, "missing", -1)/26</f>
        <v>3145.1923076923076</v>
      </c>
      <c r="F153" s="9">
        <f>_xlfn.XLOOKUP(A153, 'MaxPayPoints Transposed'!A:A, 'MaxPayPoints Transposed'!F:F, "missing", -1)/26</f>
        <v>3531.1153846153848</v>
      </c>
      <c r="G153" s="9">
        <f>_xlfn.XLOOKUP(A153, 'MaxPayPoints Transposed'!A:A, 'MaxPayPoints Transposed'!G:G, "missing", -1)/26</f>
        <v>4073.4615384615386</v>
      </c>
      <c r="H153" s="9">
        <f>_xlfn.XLOOKUP(A153, 'MaxPayPoints Transposed'!A:A, 'MaxPayPoints Transposed'!H:H, "missing", -1)/26</f>
        <v>4839.6923076923076</v>
      </c>
      <c r="I153" s="9">
        <f>_xlfn.XLOOKUP(A153, 'MaxPayPoints Transposed'!A:A, 'MaxPayPoints Transposed'!I:I, "missing", -1)/26</f>
        <v>5848.9615384615381</v>
      </c>
      <c r="J153" s="9">
        <f>_xlfn.XLOOKUP(A153, 'MaxPayPoints Transposed'!A:A, 'MaxPayPoints Transposed'!J:J, "missing", -1)/26</f>
        <v>6356.2692307692305</v>
      </c>
    </row>
    <row r="154" spans="1:10" x14ac:dyDescent="0.35">
      <c r="A154" s="7">
        <v>45967</v>
      </c>
      <c r="B154" s="20">
        <f>_xlfn.XLOOKUP(A154, CPI!A:A, CPI!B:B, "missing",-1,1)/6.5</f>
        <v>0.2</v>
      </c>
      <c r="C154" s="21">
        <f>_xlfn.XLOOKUP(A154, SLCI!A:A, SLCI!B:B, "missing", -1)/6.5</f>
        <v>9.2307692307692299E-2</v>
      </c>
      <c r="D154" s="9">
        <f>_xlfn.XLOOKUP(A154, 'MaxPayPoints Transposed'!A:A, 'MaxPayPoints Transposed'!D:D, "missing", -1)/26</f>
        <v>2801.4230769230771</v>
      </c>
      <c r="E154" s="9">
        <f>_xlfn.XLOOKUP(A154, 'MaxPayPoints Transposed'!A:A, 'MaxPayPoints Transposed'!E:E, "missing", -1)/26</f>
        <v>3145.1923076923076</v>
      </c>
      <c r="F154" s="9">
        <f>_xlfn.XLOOKUP(A154, 'MaxPayPoints Transposed'!A:A, 'MaxPayPoints Transposed'!F:F, "missing", -1)/26</f>
        <v>3531.1153846153848</v>
      </c>
      <c r="G154" s="9">
        <f>_xlfn.XLOOKUP(A154, 'MaxPayPoints Transposed'!A:A, 'MaxPayPoints Transposed'!G:G, "missing", -1)/26</f>
        <v>4073.4615384615386</v>
      </c>
      <c r="H154" s="9">
        <f>_xlfn.XLOOKUP(A154, 'MaxPayPoints Transposed'!A:A, 'MaxPayPoints Transposed'!H:H, "missing", -1)/26</f>
        <v>4839.6923076923076</v>
      </c>
      <c r="I154" s="9">
        <f>_xlfn.XLOOKUP(A154, 'MaxPayPoints Transposed'!A:A, 'MaxPayPoints Transposed'!I:I, "missing", -1)/26</f>
        <v>5848.9615384615381</v>
      </c>
      <c r="J154" s="9">
        <f>_xlfn.XLOOKUP(A154, 'MaxPayPoints Transposed'!A:A, 'MaxPayPoints Transposed'!J:J, "missing", -1)/26</f>
        <v>6356.2692307692305</v>
      </c>
    </row>
    <row r="155" spans="1:10" x14ac:dyDescent="0.35">
      <c r="A155" s="7">
        <v>45981</v>
      </c>
      <c r="B155" s="20">
        <f>_xlfn.XLOOKUP(A155, CPI!A:A, CPI!B:B, "missing",-1,1)/6.5</f>
        <v>0.2</v>
      </c>
      <c r="C155" s="21">
        <f>_xlfn.XLOOKUP(A155, SLCI!A:A, SLCI!B:B, "missing", -1)/6.5</f>
        <v>9.2307692307692299E-2</v>
      </c>
      <c r="D155" s="9">
        <f>_xlfn.XLOOKUP(A155, 'MaxPayPoints Transposed'!A:A, 'MaxPayPoints Transposed'!D:D, "missing", -1)/26</f>
        <v>2801.4230769230771</v>
      </c>
      <c r="E155" s="9">
        <f>_xlfn.XLOOKUP(A155, 'MaxPayPoints Transposed'!A:A, 'MaxPayPoints Transposed'!E:E, "missing", -1)/26</f>
        <v>3145.1923076923076</v>
      </c>
      <c r="F155" s="9">
        <f>_xlfn.XLOOKUP(A155, 'MaxPayPoints Transposed'!A:A, 'MaxPayPoints Transposed'!F:F, "missing", -1)/26</f>
        <v>3531.1153846153848</v>
      </c>
      <c r="G155" s="9">
        <f>_xlfn.XLOOKUP(A155, 'MaxPayPoints Transposed'!A:A, 'MaxPayPoints Transposed'!G:G, "missing", -1)/26</f>
        <v>4073.4615384615386</v>
      </c>
      <c r="H155" s="9">
        <f>_xlfn.XLOOKUP(A155, 'MaxPayPoints Transposed'!A:A, 'MaxPayPoints Transposed'!H:H, "missing", -1)/26</f>
        <v>4839.6923076923076</v>
      </c>
      <c r="I155" s="9">
        <f>_xlfn.XLOOKUP(A155, 'MaxPayPoints Transposed'!A:A, 'MaxPayPoints Transposed'!I:I, "missing", -1)/26</f>
        <v>5848.9615384615381</v>
      </c>
      <c r="J155" s="9">
        <f>_xlfn.XLOOKUP(A155, 'MaxPayPoints Transposed'!A:A, 'MaxPayPoints Transposed'!J:J, "missing", -1)/26</f>
        <v>6356.2692307692305</v>
      </c>
    </row>
    <row r="156" spans="1:10" x14ac:dyDescent="0.35">
      <c r="A156" s="7">
        <v>45995</v>
      </c>
      <c r="B156" s="20">
        <f>_xlfn.XLOOKUP(A156, CPI!A:A, CPI!B:B, "missing",-1,1)/6.5</f>
        <v>9.2307692307692299E-2</v>
      </c>
      <c r="C156" s="21">
        <f>_xlfn.XLOOKUP(A156, SLCI!A:A, SLCI!B:B, "missing", -1)/6.5</f>
        <v>3.0769230769230771E-2</v>
      </c>
      <c r="D156" s="9">
        <f>_xlfn.XLOOKUP(A156, 'MaxPayPoints Transposed'!A:A, 'MaxPayPoints Transposed'!D:D, "missing", -1)/26</f>
        <v>2801.4230769230771</v>
      </c>
      <c r="E156" s="9">
        <f>_xlfn.XLOOKUP(A156, 'MaxPayPoints Transposed'!A:A, 'MaxPayPoints Transposed'!E:E, "missing", -1)/26</f>
        <v>3145.1923076923076</v>
      </c>
      <c r="F156" s="9">
        <f>_xlfn.XLOOKUP(A156, 'MaxPayPoints Transposed'!A:A, 'MaxPayPoints Transposed'!F:F, "missing", -1)/26</f>
        <v>3531.1153846153848</v>
      </c>
      <c r="G156" s="9">
        <f>_xlfn.XLOOKUP(A156, 'MaxPayPoints Transposed'!A:A, 'MaxPayPoints Transposed'!G:G, "missing", -1)/26</f>
        <v>4073.4615384615386</v>
      </c>
      <c r="H156" s="9">
        <f>_xlfn.XLOOKUP(A156, 'MaxPayPoints Transposed'!A:A, 'MaxPayPoints Transposed'!H:H, "missing", -1)/26</f>
        <v>4839.6923076923076</v>
      </c>
      <c r="I156" s="9">
        <f>_xlfn.XLOOKUP(A156, 'MaxPayPoints Transposed'!A:A, 'MaxPayPoints Transposed'!I:I, "missing", -1)/26</f>
        <v>5848.9615384615381</v>
      </c>
      <c r="J156" s="9">
        <f>_xlfn.XLOOKUP(A156, 'MaxPayPoints Transposed'!A:A, 'MaxPayPoints Transposed'!J:J, "missing", -1)/26</f>
        <v>6356.2692307692305</v>
      </c>
    </row>
    <row r="157" spans="1:10" x14ac:dyDescent="0.35">
      <c r="A157" s="7">
        <v>46009</v>
      </c>
      <c r="B157" s="20">
        <f>_xlfn.XLOOKUP(A157, CPI!A:A, CPI!B:B, "missing",-1,1)/6.5</f>
        <v>9.2307692307692299E-2</v>
      </c>
      <c r="C157" s="21">
        <f>_xlfn.XLOOKUP(A157, SLCI!A:A, SLCI!B:B, "missing", -1)/6.5</f>
        <v>3.0769230769230771E-2</v>
      </c>
      <c r="D157" s="9">
        <f>_xlfn.XLOOKUP(A157, 'MaxPayPoints Transposed'!A:A, 'MaxPayPoints Transposed'!D:D, "missing", -1)/26</f>
        <v>2801.4230769230771</v>
      </c>
      <c r="E157" s="9">
        <f>_xlfn.XLOOKUP(A157, 'MaxPayPoints Transposed'!A:A, 'MaxPayPoints Transposed'!E:E, "missing", -1)/26</f>
        <v>3145.1923076923076</v>
      </c>
      <c r="F157" s="9">
        <f>_xlfn.XLOOKUP(A157, 'MaxPayPoints Transposed'!A:A, 'MaxPayPoints Transposed'!F:F, "missing", -1)/26</f>
        <v>3531.1153846153848</v>
      </c>
      <c r="G157" s="9">
        <f>_xlfn.XLOOKUP(A157, 'MaxPayPoints Transposed'!A:A, 'MaxPayPoints Transposed'!G:G, "missing", -1)/26</f>
        <v>4073.4615384615386</v>
      </c>
      <c r="H157" s="9">
        <f>_xlfn.XLOOKUP(A157, 'MaxPayPoints Transposed'!A:A, 'MaxPayPoints Transposed'!H:H, "missing", -1)/26</f>
        <v>4839.6923076923076</v>
      </c>
      <c r="I157" s="9">
        <f>_xlfn.XLOOKUP(A157, 'MaxPayPoints Transposed'!A:A, 'MaxPayPoints Transposed'!I:I, "missing", -1)/26</f>
        <v>5848.9615384615381</v>
      </c>
      <c r="J157" s="9">
        <f>_xlfn.XLOOKUP(A157, 'MaxPayPoints Transposed'!A:A, 'MaxPayPoints Transposed'!J:J, "missing", -1)/26</f>
        <v>6356.2692307692305</v>
      </c>
    </row>
    <row r="158" spans="1:10" x14ac:dyDescent="0.35">
      <c r="A158" s="7">
        <v>46023</v>
      </c>
      <c r="B158" s="20">
        <f>_xlfn.XLOOKUP(A158, CPI!A:A, CPI!B:B, "missing",-1,1)/6.5</f>
        <v>9.2307692307692299E-2</v>
      </c>
      <c r="C158" s="21">
        <f>_xlfn.XLOOKUP(A158, SLCI!A:A, SLCI!B:B, "missing", -1)/6.5</f>
        <v>3.0769230769230771E-2</v>
      </c>
      <c r="D158" s="9">
        <f>_xlfn.XLOOKUP(A158, 'MaxPayPoints Transposed'!A:A, 'MaxPayPoints Transposed'!D:D, "missing", -1)/26</f>
        <v>2801.4230769230771</v>
      </c>
      <c r="E158" s="9">
        <f>_xlfn.XLOOKUP(A158, 'MaxPayPoints Transposed'!A:A, 'MaxPayPoints Transposed'!E:E, "missing", -1)/26</f>
        <v>3145.1923076923076</v>
      </c>
      <c r="F158" s="9">
        <f>_xlfn.XLOOKUP(A158, 'MaxPayPoints Transposed'!A:A, 'MaxPayPoints Transposed'!F:F, "missing", -1)/26</f>
        <v>3531.1153846153848</v>
      </c>
      <c r="G158" s="9">
        <f>_xlfn.XLOOKUP(A158, 'MaxPayPoints Transposed'!A:A, 'MaxPayPoints Transposed'!G:G, "missing", -1)/26</f>
        <v>4073.4615384615386</v>
      </c>
      <c r="H158" s="9">
        <f>_xlfn.XLOOKUP(A158, 'MaxPayPoints Transposed'!A:A, 'MaxPayPoints Transposed'!H:H, "missing", -1)/26</f>
        <v>4839.6923076923076</v>
      </c>
      <c r="I158" s="9">
        <f>_xlfn.XLOOKUP(A158, 'MaxPayPoints Transposed'!A:A, 'MaxPayPoints Transposed'!I:I, "missing", -1)/26</f>
        <v>5848.9615384615381</v>
      </c>
      <c r="J158" s="9">
        <f>_xlfn.XLOOKUP(A158, 'MaxPayPoints Transposed'!A:A, 'MaxPayPoints Transposed'!J:J, "missing", -1)/26</f>
        <v>6356.2692307692305</v>
      </c>
    </row>
    <row r="159" spans="1:10" x14ac:dyDescent="0.35">
      <c r="A159" s="7">
        <v>46037</v>
      </c>
      <c r="B159" s="20">
        <f>_xlfn.XLOOKUP(A159, CPI!A:A, CPI!B:B, "missing",-1,1)/6.5</f>
        <v>9.2307692307692299E-2</v>
      </c>
      <c r="C159" s="21">
        <f>_xlfn.XLOOKUP(A159, SLCI!A:A, SLCI!B:B, "missing", -1)/6.5</f>
        <v>3.0769230769230771E-2</v>
      </c>
      <c r="D159" s="9">
        <f>_xlfn.XLOOKUP(A159, 'MaxPayPoints Transposed'!A:A, 'MaxPayPoints Transposed'!D:D, "missing", -1)/26</f>
        <v>2801.4230769230771</v>
      </c>
      <c r="E159" s="9">
        <f>_xlfn.XLOOKUP(A159, 'MaxPayPoints Transposed'!A:A, 'MaxPayPoints Transposed'!E:E, "missing", -1)/26</f>
        <v>3145.1923076923076</v>
      </c>
      <c r="F159" s="9">
        <f>_xlfn.XLOOKUP(A159, 'MaxPayPoints Transposed'!A:A, 'MaxPayPoints Transposed'!F:F, "missing", -1)/26</f>
        <v>3531.1153846153848</v>
      </c>
      <c r="G159" s="9">
        <f>_xlfn.XLOOKUP(A159, 'MaxPayPoints Transposed'!A:A, 'MaxPayPoints Transposed'!G:G, "missing", -1)/26</f>
        <v>4073.4615384615386</v>
      </c>
      <c r="H159" s="9">
        <f>_xlfn.XLOOKUP(A159, 'MaxPayPoints Transposed'!A:A, 'MaxPayPoints Transposed'!H:H, "missing", -1)/26</f>
        <v>4839.6923076923076</v>
      </c>
      <c r="I159" s="9">
        <f>_xlfn.XLOOKUP(A159, 'MaxPayPoints Transposed'!A:A, 'MaxPayPoints Transposed'!I:I, "missing", -1)/26</f>
        <v>5848.9615384615381</v>
      </c>
      <c r="J159" s="9">
        <f>_xlfn.XLOOKUP(A159, 'MaxPayPoints Transposed'!A:A, 'MaxPayPoints Transposed'!J:J, "missing", -1)/26</f>
        <v>6356.2692307692305</v>
      </c>
    </row>
    <row r="160" spans="1:10" x14ac:dyDescent="0.35">
      <c r="A160" s="7">
        <v>46051</v>
      </c>
      <c r="B160" s="20">
        <f>_xlfn.XLOOKUP(A160, CPI!A:A, CPI!B:B, "missing",-1,1)/6.5</f>
        <v>9.2307692307692299E-2</v>
      </c>
      <c r="C160" s="21">
        <f>_xlfn.XLOOKUP(A160, SLCI!A:A, SLCI!B:B, "missing", -1)/6.5</f>
        <v>3.0769230769230771E-2</v>
      </c>
      <c r="D160" s="9">
        <f>_xlfn.XLOOKUP(A160, 'MaxPayPoints Transposed'!A:A, 'MaxPayPoints Transposed'!D:D, "missing", -1)/26</f>
        <v>2801.4230769230771</v>
      </c>
      <c r="E160" s="9">
        <f>_xlfn.XLOOKUP(A160, 'MaxPayPoints Transposed'!A:A, 'MaxPayPoints Transposed'!E:E, "missing", -1)/26</f>
        <v>3145.1923076923076</v>
      </c>
      <c r="F160" s="9">
        <f>_xlfn.XLOOKUP(A160, 'MaxPayPoints Transposed'!A:A, 'MaxPayPoints Transposed'!F:F, "missing", -1)/26</f>
        <v>3531.1153846153848</v>
      </c>
      <c r="G160" s="9">
        <f>_xlfn.XLOOKUP(A160, 'MaxPayPoints Transposed'!A:A, 'MaxPayPoints Transposed'!G:G, "missing", -1)/26</f>
        <v>4073.4615384615386</v>
      </c>
      <c r="H160" s="9">
        <f>_xlfn.XLOOKUP(A160, 'MaxPayPoints Transposed'!A:A, 'MaxPayPoints Transposed'!H:H, "missing", -1)/26</f>
        <v>4839.6923076923076</v>
      </c>
      <c r="I160" s="9">
        <f>_xlfn.XLOOKUP(A160, 'MaxPayPoints Transposed'!A:A, 'MaxPayPoints Transposed'!I:I, "missing", -1)/26</f>
        <v>5848.9615384615381</v>
      </c>
      <c r="J160" s="9">
        <f>_xlfn.XLOOKUP(A160, 'MaxPayPoints Transposed'!A:A, 'MaxPayPoints Transposed'!J:J, "missing", -1)/26</f>
        <v>6356.2692307692305</v>
      </c>
    </row>
    <row r="161" spans="1:10" x14ac:dyDescent="0.35">
      <c r="A161" s="7">
        <v>46065</v>
      </c>
      <c r="B161" s="20">
        <f>_xlfn.XLOOKUP(A161, CPI!A:A, CPI!B:B, "missing",-1,1)/6.5</f>
        <v>9.2307692307692299E-2</v>
      </c>
      <c r="C161" s="21">
        <f>_xlfn.XLOOKUP(A161, SLCI!A:A, SLCI!B:B, "missing", -1)/6.5</f>
        <v>3.0769230769230771E-2</v>
      </c>
      <c r="D161" s="9">
        <f>_xlfn.XLOOKUP(A161, 'MaxPayPoints Transposed'!A:A, 'MaxPayPoints Transposed'!D:D, "missing", -1)/26</f>
        <v>2801.4230769230771</v>
      </c>
      <c r="E161" s="9">
        <f>_xlfn.XLOOKUP(A161, 'MaxPayPoints Transposed'!A:A, 'MaxPayPoints Transposed'!E:E, "missing", -1)/26</f>
        <v>3145.1923076923076</v>
      </c>
      <c r="F161" s="9">
        <f>_xlfn.XLOOKUP(A161, 'MaxPayPoints Transposed'!A:A, 'MaxPayPoints Transposed'!F:F, "missing", -1)/26</f>
        <v>3531.1153846153848</v>
      </c>
      <c r="G161" s="9">
        <f>_xlfn.XLOOKUP(A161, 'MaxPayPoints Transposed'!A:A, 'MaxPayPoints Transposed'!G:G, "missing", -1)/26</f>
        <v>4073.4615384615386</v>
      </c>
      <c r="H161" s="9">
        <f>_xlfn.XLOOKUP(A161, 'MaxPayPoints Transposed'!A:A, 'MaxPayPoints Transposed'!H:H, "missing", -1)/26</f>
        <v>4839.6923076923076</v>
      </c>
      <c r="I161" s="9">
        <f>_xlfn.XLOOKUP(A161, 'MaxPayPoints Transposed'!A:A, 'MaxPayPoints Transposed'!I:I, "missing", -1)/26</f>
        <v>5848.9615384615381</v>
      </c>
      <c r="J161" s="9">
        <f>_xlfn.XLOOKUP(A161, 'MaxPayPoints Transposed'!A:A, 'MaxPayPoints Transposed'!J:J, "missing", -1)/26</f>
        <v>6356.2692307692305</v>
      </c>
    </row>
    <row r="162" spans="1:10" x14ac:dyDescent="0.35">
      <c r="A162" s="7">
        <v>46079</v>
      </c>
      <c r="B162" s="20">
        <f>_xlfn.XLOOKUP(A162, CPI!A:A, CPI!B:B, "missing",-1,1)/6.5</f>
        <v>9.2307692307692299E-2</v>
      </c>
      <c r="C162" s="21">
        <f>_xlfn.XLOOKUP(A162, SLCI!A:A, SLCI!B:B, "missing", -1)/6.5</f>
        <v>3.0769230769230771E-2</v>
      </c>
      <c r="D162" s="9">
        <f>_xlfn.XLOOKUP(A162, 'MaxPayPoints Transposed'!A:A, 'MaxPayPoints Transposed'!D:D, "missing", -1)/26</f>
        <v>2801.4230769230771</v>
      </c>
      <c r="E162" s="9">
        <f>_xlfn.XLOOKUP(A162, 'MaxPayPoints Transposed'!A:A, 'MaxPayPoints Transposed'!E:E, "missing", -1)/26</f>
        <v>3145.1923076923076</v>
      </c>
      <c r="F162" s="9">
        <f>_xlfn.XLOOKUP(A162, 'MaxPayPoints Transposed'!A:A, 'MaxPayPoints Transposed'!F:F, "missing", -1)/26</f>
        <v>3531.1153846153848</v>
      </c>
      <c r="G162" s="9">
        <f>_xlfn.XLOOKUP(A162, 'MaxPayPoints Transposed'!A:A, 'MaxPayPoints Transposed'!G:G, "missing", -1)/26</f>
        <v>4073.4615384615386</v>
      </c>
      <c r="H162" s="9">
        <f>_xlfn.XLOOKUP(A162, 'MaxPayPoints Transposed'!A:A, 'MaxPayPoints Transposed'!H:H, "missing", -1)/26</f>
        <v>4839.6923076923076</v>
      </c>
      <c r="I162" s="9">
        <f>_xlfn.XLOOKUP(A162, 'MaxPayPoints Transposed'!A:A, 'MaxPayPoints Transposed'!I:I, "missing", -1)/26</f>
        <v>5848.9615384615381</v>
      </c>
      <c r="J162" s="9">
        <f>_xlfn.XLOOKUP(A162, 'MaxPayPoints Transposed'!A:A, 'MaxPayPoints Transposed'!J:J, "missing", -1)/26</f>
        <v>6356.2692307692305</v>
      </c>
    </row>
    <row r="163" spans="1:10" x14ac:dyDescent="0.35">
      <c r="A163" s="7">
        <v>46093</v>
      </c>
      <c r="B163" s="20">
        <f>_xlfn.XLOOKUP(A163, CPI!A:A, CPI!B:B, "missing",-1,1)/6.5</f>
        <v>9.2307692307692299E-2</v>
      </c>
      <c r="C163" s="21">
        <f>_xlfn.XLOOKUP(A163, SLCI!A:A, SLCI!B:B, "missing", -1)/6.5</f>
        <v>0.21538461538461537</v>
      </c>
      <c r="D163" s="9">
        <f>_xlfn.XLOOKUP(A163, 'MaxPayPoints Transposed'!A:A, 'MaxPayPoints Transposed'!D:D, "missing", -1)/26</f>
        <v>2954.6153846153848</v>
      </c>
      <c r="E163" s="9">
        <f>_xlfn.XLOOKUP(A163, 'MaxPayPoints Transposed'!A:A, 'MaxPayPoints Transposed'!E:E, "missing", -1)/26</f>
        <v>3317.1538461538462</v>
      </c>
      <c r="F163" s="9">
        <f>_xlfn.XLOOKUP(A163, 'MaxPayPoints Transposed'!A:A, 'MaxPayPoints Transposed'!F:F, "missing", -1)/26</f>
        <v>3724.1923076923076</v>
      </c>
      <c r="G163" s="9">
        <f>_xlfn.XLOOKUP(A163, 'MaxPayPoints Transposed'!A:A, 'MaxPayPoints Transposed'!G:G, "missing", -1)/26</f>
        <v>4296.1923076923076</v>
      </c>
      <c r="H163" s="9">
        <f>_xlfn.XLOOKUP(A163, 'MaxPayPoints Transposed'!A:A, 'MaxPayPoints Transposed'!H:H, "missing", -1)/26</f>
        <v>5104.3461538461543</v>
      </c>
      <c r="I163" s="9">
        <f>_xlfn.XLOOKUP(A163, 'MaxPayPoints Transposed'!A:A, 'MaxPayPoints Transposed'!I:I, "missing", -1)/26</f>
        <v>6047.8076923076924</v>
      </c>
      <c r="J163" s="9">
        <f>_xlfn.XLOOKUP(A163, 'MaxPayPoints Transposed'!A:A, 'MaxPayPoints Transposed'!J:J, "missing", -1)/26</f>
        <v>6572.3846153846152</v>
      </c>
    </row>
    <row r="164" spans="1:10" x14ac:dyDescent="0.35">
      <c r="A164" s="7">
        <v>46107</v>
      </c>
      <c r="B164" s="20">
        <f>_xlfn.XLOOKUP(A164, CPI!A:A, CPI!B:B, "missing",-1,1)/6.5</f>
        <v>9.2307692307692299E-2</v>
      </c>
      <c r="C164" s="21">
        <f>_xlfn.XLOOKUP(A164, SLCI!A:A, SLCI!B:B, "missing", -1)/6.5</f>
        <v>0.21538461538461537</v>
      </c>
      <c r="D164" s="9">
        <f>_xlfn.XLOOKUP(A164, 'MaxPayPoints Transposed'!A:A, 'MaxPayPoints Transposed'!D:D, "missing", -1)/26</f>
        <v>2954.6153846153848</v>
      </c>
      <c r="E164" s="9">
        <f>_xlfn.XLOOKUP(A164, 'MaxPayPoints Transposed'!A:A, 'MaxPayPoints Transposed'!E:E, "missing", -1)/26</f>
        <v>3317.1538461538462</v>
      </c>
      <c r="F164" s="9">
        <f>_xlfn.XLOOKUP(A164, 'MaxPayPoints Transposed'!A:A, 'MaxPayPoints Transposed'!F:F, "missing", -1)/26</f>
        <v>3724.1923076923076</v>
      </c>
      <c r="G164" s="9">
        <f>_xlfn.XLOOKUP(A164, 'MaxPayPoints Transposed'!A:A, 'MaxPayPoints Transposed'!G:G, "missing", -1)/26</f>
        <v>4296.1923076923076</v>
      </c>
      <c r="H164" s="9">
        <f>_xlfn.XLOOKUP(A164, 'MaxPayPoints Transposed'!A:A, 'MaxPayPoints Transposed'!H:H, "missing", -1)/26</f>
        <v>5104.3461538461543</v>
      </c>
      <c r="I164" s="9">
        <f>_xlfn.XLOOKUP(A164, 'MaxPayPoints Transposed'!A:A, 'MaxPayPoints Transposed'!I:I, "missing", -1)/26</f>
        <v>6047.8076923076924</v>
      </c>
      <c r="J164" s="9">
        <f>_xlfn.XLOOKUP(A164, 'MaxPayPoints Transposed'!A:A, 'MaxPayPoints Transposed'!J:J, "missing", -1)/26</f>
        <v>6572.3846153846152</v>
      </c>
    </row>
    <row r="165" spans="1:10" x14ac:dyDescent="0.35">
      <c r="A165" s="7">
        <v>46121</v>
      </c>
      <c r="B165" s="20">
        <f>_xlfn.XLOOKUP(A165, CPI!A:A, CPI!B:B, "missing",-1,1)/6.5</f>
        <v>9.2307692307692299E-2</v>
      </c>
      <c r="C165" s="21">
        <f>_xlfn.XLOOKUP(A165, SLCI!A:A, SLCI!B:B, "missing", -1)/6.5</f>
        <v>0.21538461538461537</v>
      </c>
      <c r="D165" s="9">
        <f>_xlfn.XLOOKUP(A165, 'MaxPayPoints Transposed'!A:A, 'MaxPayPoints Transposed'!D:D, "missing", -1)/26</f>
        <v>2954.6153846153848</v>
      </c>
      <c r="E165" s="9">
        <f>_xlfn.XLOOKUP(A165, 'MaxPayPoints Transposed'!A:A, 'MaxPayPoints Transposed'!E:E, "missing", -1)/26</f>
        <v>3317.1538461538462</v>
      </c>
      <c r="F165" s="9">
        <f>_xlfn.XLOOKUP(A165, 'MaxPayPoints Transposed'!A:A, 'MaxPayPoints Transposed'!F:F, "missing", -1)/26</f>
        <v>3724.1923076923076</v>
      </c>
      <c r="G165" s="9">
        <f>_xlfn.XLOOKUP(A165, 'MaxPayPoints Transposed'!A:A, 'MaxPayPoints Transposed'!G:G, "missing", -1)/26</f>
        <v>4296.1923076923076</v>
      </c>
      <c r="H165" s="9">
        <f>_xlfn.XLOOKUP(A165, 'MaxPayPoints Transposed'!A:A, 'MaxPayPoints Transposed'!H:H, "missing", -1)/26</f>
        <v>5104.3461538461543</v>
      </c>
      <c r="I165" s="9">
        <f>_xlfn.XLOOKUP(A165, 'MaxPayPoints Transposed'!A:A, 'MaxPayPoints Transposed'!I:I, "missing", -1)/26</f>
        <v>6047.8076923076924</v>
      </c>
      <c r="J165" s="9">
        <f>_xlfn.XLOOKUP(A165, 'MaxPayPoints Transposed'!A:A, 'MaxPayPoints Transposed'!J:J, "missing", -1)/26</f>
        <v>6572.3846153846152</v>
      </c>
    </row>
    <row r="166" spans="1:10" x14ac:dyDescent="0.35">
      <c r="A166" s="7">
        <v>46135</v>
      </c>
      <c r="B166" s="20">
        <f>_xlfn.XLOOKUP(A166, CPI!A:A, CPI!B:B, "missing",-1,1)/6.5</f>
        <v>9.2307692307692299E-2</v>
      </c>
      <c r="C166" s="21">
        <f>_xlfn.XLOOKUP(A166, SLCI!A:A, SLCI!B:B, "missing", -1)/6.5</f>
        <v>0.21538461538461537</v>
      </c>
      <c r="D166" s="9">
        <f>_xlfn.XLOOKUP(A166, 'MaxPayPoints Transposed'!A:A, 'MaxPayPoints Transposed'!D:D, "missing", -1)/26</f>
        <v>2954.6153846153848</v>
      </c>
      <c r="E166" s="9">
        <f>_xlfn.XLOOKUP(A166, 'MaxPayPoints Transposed'!A:A, 'MaxPayPoints Transposed'!E:E, "missing", -1)/26</f>
        <v>3317.1538461538462</v>
      </c>
      <c r="F166" s="9">
        <f>_xlfn.XLOOKUP(A166, 'MaxPayPoints Transposed'!A:A, 'MaxPayPoints Transposed'!F:F, "missing", -1)/26</f>
        <v>3724.1923076923076</v>
      </c>
      <c r="G166" s="9">
        <f>_xlfn.XLOOKUP(A166, 'MaxPayPoints Transposed'!A:A, 'MaxPayPoints Transposed'!G:G, "missing", -1)/26</f>
        <v>4296.1923076923076</v>
      </c>
      <c r="H166" s="9">
        <f>_xlfn.XLOOKUP(A166, 'MaxPayPoints Transposed'!A:A, 'MaxPayPoints Transposed'!H:H, "missing", -1)/26</f>
        <v>5104.3461538461543</v>
      </c>
      <c r="I166" s="9">
        <f>_xlfn.XLOOKUP(A166, 'MaxPayPoints Transposed'!A:A, 'MaxPayPoints Transposed'!I:I, "missing", -1)/26</f>
        <v>6047.8076923076924</v>
      </c>
      <c r="J166" s="9">
        <f>_xlfn.XLOOKUP(A166, 'MaxPayPoints Transposed'!A:A, 'MaxPayPoints Transposed'!J:J, "missing", -1)/26</f>
        <v>6572.3846153846152</v>
      </c>
    </row>
    <row r="167" spans="1:10" x14ac:dyDescent="0.35">
      <c r="A167" s="7">
        <v>46149</v>
      </c>
      <c r="B167" s="20">
        <f>_xlfn.XLOOKUP(A167, CPI!A:A, CPI!B:B, "missing",-1,1)/6.5</f>
        <v>9.2307692307692299E-2</v>
      </c>
      <c r="C167" s="21">
        <f>_xlfn.XLOOKUP(A167, SLCI!A:A, SLCI!B:B, "missing", -1)/6.5</f>
        <v>0.21538461538461537</v>
      </c>
      <c r="D167" s="9">
        <f>_xlfn.XLOOKUP(A167, 'MaxPayPoints Transposed'!A:A, 'MaxPayPoints Transposed'!D:D, "missing", -1)/26</f>
        <v>2954.6153846153848</v>
      </c>
      <c r="E167" s="9">
        <f>_xlfn.XLOOKUP(A167, 'MaxPayPoints Transposed'!A:A, 'MaxPayPoints Transposed'!E:E, "missing", -1)/26</f>
        <v>3317.1538461538462</v>
      </c>
      <c r="F167" s="9">
        <f>_xlfn.XLOOKUP(A167, 'MaxPayPoints Transposed'!A:A, 'MaxPayPoints Transposed'!F:F, "missing", -1)/26</f>
        <v>3724.1923076923076</v>
      </c>
      <c r="G167" s="9">
        <f>_xlfn.XLOOKUP(A167, 'MaxPayPoints Transposed'!A:A, 'MaxPayPoints Transposed'!G:G, "missing", -1)/26</f>
        <v>4296.1923076923076</v>
      </c>
      <c r="H167" s="9">
        <f>_xlfn.XLOOKUP(A167, 'MaxPayPoints Transposed'!A:A, 'MaxPayPoints Transposed'!H:H, "missing", -1)/26</f>
        <v>5104.3461538461543</v>
      </c>
      <c r="I167" s="9">
        <f>_xlfn.XLOOKUP(A167, 'MaxPayPoints Transposed'!A:A, 'MaxPayPoints Transposed'!I:I, "missing", -1)/26</f>
        <v>6047.8076923076924</v>
      </c>
      <c r="J167" s="9">
        <f>_xlfn.XLOOKUP(A167, 'MaxPayPoints Transposed'!A:A, 'MaxPayPoints Transposed'!J:J, "missing", -1)/26</f>
        <v>6572.3846153846152</v>
      </c>
    </row>
    <row r="168" spans="1:10" x14ac:dyDescent="0.35">
      <c r="A168" s="7">
        <v>46163</v>
      </c>
      <c r="B168" s="20">
        <f>_xlfn.XLOOKUP(A168, CPI!A:A, CPI!B:B, "missing",-1,1)/6.5</f>
        <v>9.2307692307692299E-2</v>
      </c>
      <c r="C168" s="21">
        <f>_xlfn.XLOOKUP(A168, SLCI!A:A, SLCI!B:B, "missing", -1)/6.5</f>
        <v>0.21538461538461537</v>
      </c>
      <c r="D168" s="9">
        <f>_xlfn.XLOOKUP(A168, 'MaxPayPoints Transposed'!A:A, 'MaxPayPoints Transposed'!D:D, "missing", -1)/26</f>
        <v>2954.6153846153848</v>
      </c>
      <c r="E168" s="9">
        <f>_xlfn.XLOOKUP(A168, 'MaxPayPoints Transposed'!A:A, 'MaxPayPoints Transposed'!E:E, "missing", -1)/26</f>
        <v>3317.1538461538462</v>
      </c>
      <c r="F168" s="9">
        <f>_xlfn.XLOOKUP(A168, 'MaxPayPoints Transposed'!A:A, 'MaxPayPoints Transposed'!F:F, "missing", -1)/26</f>
        <v>3724.1923076923076</v>
      </c>
      <c r="G168" s="9">
        <f>_xlfn.XLOOKUP(A168, 'MaxPayPoints Transposed'!A:A, 'MaxPayPoints Transposed'!G:G, "missing", -1)/26</f>
        <v>4296.1923076923076</v>
      </c>
      <c r="H168" s="9">
        <f>_xlfn.XLOOKUP(A168, 'MaxPayPoints Transposed'!A:A, 'MaxPayPoints Transposed'!H:H, "missing", -1)/26</f>
        <v>5104.3461538461543</v>
      </c>
      <c r="I168" s="9">
        <f>_xlfn.XLOOKUP(A168, 'MaxPayPoints Transposed'!A:A, 'MaxPayPoints Transposed'!I:I, "missing", -1)/26</f>
        <v>6047.8076923076924</v>
      </c>
      <c r="J168" s="9">
        <f>_xlfn.XLOOKUP(A168, 'MaxPayPoints Transposed'!A:A, 'MaxPayPoints Transposed'!J:J, "missing", -1)/26</f>
        <v>6572.3846153846152</v>
      </c>
    </row>
    <row r="169" spans="1:10" x14ac:dyDescent="0.35">
      <c r="A169" s="7">
        <v>46177</v>
      </c>
      <c r="B169" s="20">
        <f>_xlfn.XLOOKUP(A169, CPI!A:A, CPI!B:B, "missing",-1,1)/6.5</f>
        <v>9.2307692307692299E-2</v>
      </c>
      <c r="C169" s="21">
        <f>_xlfn.XLOOKUP(A169, SLCI!A:A, SLCI!B:B, "missing", -1)/6.5</f>
        <v>0.21538461538461537</v>
      </c>
      <c r="D169" s="9">
        <f>_xlfn.XLOOKUP(A169, 'MaxPayPoints Transposed'!A:A, 'MaxPayPoints Transposed'!D:D, "missing", -1)/26</f>
        <v>2954.6153846153848</v>
      </c>
      <c r="E169" s="9">
        <f>_xlfn.XLOOKUP(A169, 'MaxPayPoints Transposed'!A:A, 'MaxPayPoints Transposed'!E:E, "missing", -1)/26</f>
        <v>3317.1538461538462</v>
      </c>
      <c r="F169" s="9">
        <f>_xlfn.XLOOKUP(A169, 'MaxPayPoints Transposed'!A:A, 'MaxPayPoints Transposed'!F:F, "missing", -1)/26</f>
        <v>3724.1923076923076</v>
      </c>
      <c r="G169" s="9">
        <f>_xlfn.XLOOKUP(A169, 'MaxPayPoints Transposed'!A:A, 'MaxPayPoints Transposed'!G:G, "missing", -1)/26</f>
        <v>4296.1923076923076</v>
      </c>
      <c r="H169" s="9">
        <f>_xlfn.XLOOKUP(A169, 'MaxPayPoints Transposed'!A:A, 'MaxPayPoints Transposed'!H:H, "missing", -1)/26</f>
        <v>5104.3461538461543</v>
      </c>
      <c r="I169" s="9">
        <f>_xlfn.XLOOKUP(A169, 'MaxPayPoints Transposed'!A:A, 'MaxPayPoints Transposed'!I:I, "missing", -1)/26</f>
        <v>6047.8076923076924</v>
      </c>
      <c r="J169" s="9">
        <f>_xlfn.XLOOKUP(A169, 'MaxPayPoints Transposed'!A:A, 'MaxPayPoints Transposed'!J:J, "missing", -1)/26</f>
        <v>6572.3846153846152</v>
      </c>
    </row>
    <row r="170" spans="1:10" x14ac:dyDescent="0.35">
      <c r="A170" s="7">
        <v>46191</v>
      </c>
      <c r="B170" s="20">
        <f>_xlfn.XLOOKUP(A170, CPI!A:A, CPI!B:B, "missing",-1,1)/6.5</f>
        <v>9.2307692307692299E-2</v>
      </c>
      <c r="C170" s="21">
        <f>_xlfn.XLOOKUP(A170, SLCI!A:A, SLCI!B:B, "missing", -1)/6.5</f>
        <v>0.21538461538461537</v>
      </c>
      <c r="D170" s="9">
        <f>_xlfn.XLOOKUP(A170, 'MaxPayPoints Transposed'!A:A, 'MaxPayPoints Transposed'!D:D, "missing", -1)/26</f>
        <v>2954.6153846153848</v>
      </c>
      <c r="E170" s="9">
        <f>_xlfn.XLOOKUP(A170, 'MaxPayPoints Transposed'!A:A, 'MaxPayPoints Transposed'!E:E, "missing", -1)/26</f>
        <v>3317.1538461538462</v>
      </c>
      <c r="F170" s="9">
        <f>_xlfn.XLOOKUP(A170, 'MaxPayPoints Transposed'!A:A, 'MaxPayPoints Transposed'!F:F, "missing", -1)/26</f>
        <v>3724.1923076923076</v>
      </c>
      <c r="G170" s="9">
        <f>_xlfn.XLOOKUP(A170, 'MaxPayPoints Transposed'!A:A, 'MaxPayPoints Transposed'!G:G, "missing", -1)/26</f>
        <v>4296.1923076923076</v>
      </c>
      <c r="H170" s="9">
        <f>_xlfn.XLOOKUP(A170, 'MaxPayPoints Transposed'!A:A, 'MaxPayPoints Transposed'!H:H, "missing", -1)/26</f>
        <v>5104.3461538461543</v>
      </c>
      <c r="I170" s="9">
        <f>_xlfn.XLOOKUP(A170, 'MaxPayPoints Transposed'!A:A, 'MaxPayPoints Transposed'!I:I, "missing", -1)/26</f>
        <v>6047.8076923076924</v>
      </c>
      <c r="J170" s="9">
        <f>_xlfn.XLOOKUP(A170, 'MaxPayPoints Transposed'!A:A, 'MaxPayPoints Transposed'!J:J, "missing", -1)/26</f>
        <v>6572.3846153846152</v>
      </c>
    </row>
    <row r="171" spans="1:10" x14ac:dyDescent="0.35">
      <c r="A171" s="7">
        <v>46205</v>
      </c>
      <c r="B171" s="20">
        <f>_xlfn.XLOOKUP(A171, CPI!A:A, CPI!B:B, "missing",-1,1)/6.5</f>
        <v>9.2307692307692299E-2</v>
      </c>
      <c r="C171" s="21">
        <f>_xlfn.XLOOKUP(A171, SLCI!A:A, SLCI!B:B, "missing", -1)/6.5</f>
        <v>0.21538461538461537</v>
      </c>
      <c r="D171" s="9">
        <f>_xlfn.XLOOKUP(A171, 'MaxPayPoints Transposed'!A:A, 'MaxPayPoints Transposed'!D:D, "missing", -1)/26</f>
        <v>2954.6153846153848</v>
      </c>
      <c r="E171" s="9">
        <f>_xlfn.XLOOKUP(A171, 'MaxPayPoints Transposed'!A:A, 'MaxPayPoints Transposed'!E:E, "missing", -1)/26</f>
        <v>3317.1538461538462</v>
      </c>
      <c r="F171" s="9">
        <f>_xlfn.XLOOKUP(A171, 'MaxPayPoints Transposed'!A:A, 'MaxPayPoints Transposed'!F:F, "missing", -1)/26</f>
        <v>3724.1923076923076</v>
      </c>
      <c r="G171" s="9">
        <f>_xlfn.XLOOKUP(A171, 'MaxPayPoints Transposed'!A:A, 'MaxPayPoints Transposed'!G:G, "missing", -1)/26</f>
        <v>4296.1923076923076</v>
      </c>
      <c r="H171" s="9">
        <f>_xlfn.XLOOKUP(A171, 'MaxPayPoints Transposed'!A:A, 'MaxPayPoints Transposed'!H:H, "missing", -1)/26</f>
        <v>5104.3461538461543</v>
      </c>
      <c r="I171" s="9">
        <f>_xlfn.XLOOKUP(A171, 'MaxPayPoints Transposed'!A:A, 'MaxPayPoints Transposed'!I:I, "missing", -1)/26</f>
        <v>6047.8076923076924</v>
      </c>
      <c r="J171" s="9">
        <f>_xlfn.XLOOKUP(A171, 'MaxPayPoints Transposed'!A:A, 'MaxPayPoints Transposed'!J:J, "missing", -1)/26</f>
        <v>6572.3846153846152</v>
      </c>
    </row>
    <row r="172" spans="1:10" x14ac:dyDescent="0.35">
      <c r="A172" s="7">
        <v>46219</v>
      </c>
      <c r="B172" s="20">
        <f>_xlfn.XLOOKUP(A172, CPI!A:A, CPI!B:B, "missing",-1,1)/6.5</f>
        <v>9.2307692307692299E-2</v>
      </c>
      <c r="C172" s="21">
        <f>_xlfn.XLOOKUP(A172, SLCI!A:A, SLCI!B:B, "missing", -1)/6.5</f>
        <v>0.21538461538461537</v>
      </c>
      <c r="D172" s="9">
        <f>_xlfn.XLOOKUP(A172, 'MaxPayPoints Transposed'!A:A, 'MaxPayPoints Transposed'!D:D, "missing", -1)/26</f>
        <v>2954.6153846153848</v>
      </c>
      <c r="E172" s="9">
        <f>_xlfn.XLOOKUP(A172, 'MaxPayPoints Transposed'!A:A, 'MaxPayPoints Transposed'!E:E, "missing", -1)/26</f>
        <v>3317.1538461538462</v>
      </c>
      <c r="F172" s="9">
        <f>_xlfn.XLOOKUP(A172, 'MaxPayPoints Transposed'!A:A, 'MaxPayPoints Transposed'!F:F, "missing", -1)/26</f>
        <v>3724.1923076923076</v>
      </c>
      <c r="G172" s="9">
        <f>_xlfn.XLOOKUP(A172, 'MaxPayPoints Transposed'!A:A, 'MaxPayPoints Transposed'!G:G, "missing", -1)/26</f>
        <v>4296.1923076923076</v>
      </c>
      <c r="H172" s="9">
        <f>_xlfn.XLOOKUP(A172, 'MaxPayPoints Transposed'!A:A, 'MaxPayPoints Transposed'!H:H, "missing", -1)/26</f>
        <v>5104.3461538461543</v>
      </c>
      <c r="I172" s="9">
        <f>_xlfn.XLOOKUP(A172, 'MaxPayPoints Transposed'!A:A, 'MaxPayPoints Transposed'!I:I, "missing", -1)/26</f>
        <v>6047.8076923076924</v>
      </c>
      <c r="J172" s="9">
        <f>_xlfn.XLOOKUP(A172, 'MaxPayPoints Transposed'!A:A, 'MaxPayPoints Transposed'!J:J, "missing", -1)/26</f>
        <v>6572.3846153846152</v>
      </c>
    </row>
    <row r="173" spans="1:10" x14ac:dyDescent="0.35">
      <c r="A173" s="7">
        <v>46233</v>
      </c>
      <c r="B173" s="20">
        <f>_xlfn.XLOOKUP(A173, CPI!A:A, CPI!B:B, "missing",-1,1)/6.5</f>
        <v>9.2307692307692299E-2</v>
      </c>
      <c r="C173" s="21">
        <f>_xlfn.XLOOKUP(A173, SLCI!A:A, SLCI!B:B, "missing", -1)/6.5</f>
        <v>0.21538461538461537</v>
      </c>
      <c r="D173" s="9">
        <f>_xlfn.XLOOKUP(A173, 'MaxPayPoints Transposed'!A:A, 'MaxPayPoints Transposed'!D:D, "missing", -1)/26</f>
        <v>2954.6153846153848</v>
      </c>
      <c r="E173" s="9">
        <f>_xlfn.XLOOKUP(A173, 'MaxPayPoints Transposed'!A:A, 'MaxPayPoints Transposed'!E:E, "missing", -1)/26</f>
        <v>3317.1538461538462</v>
      </c>
      <c r="F173" s="9">
        <f>_xlfn.XLOOKUP(A173, 'MaxPayPoints Transposed'!A:A, 'MaxPayPoints Transposed'!F:F, "missing", -1)/26</f>
        <v>3724.1923076923076</v>
      </c>
      <c r="G173" s="9">
        <f>_xlfn.XLOOKUP(A173, 'MaxPayPoints Transposed'!A:A, 'MaxPayPoints Transposed'!G:G, "missing", -1)/26</f>
        <v>4296.1923076923076</v>
      </c>
      <c r="H173" s="9">
        <f>_xlfn.XLOOKUP(A173, 'MaxPayPoints Transposed'!A:A, 'MaxPayPoints Transposed'!H:H, "missing", -1)/26</f>
        <v>5104.3461538461543</v>
      </c>
      <c r="I173" s="9">
        <f>_xlfn.XLOOKUP(A173, 'MaxPayPoints Transposed'!A:A, 'MaxPayPoints Transposed'!I:I, "missing", -1)/26</f>
        <v>6047.8076923076924</v>
      </c>
      <c r="J173" s="9">
        <f>_xlfn.XLOOKUP(A173, 'MaxPayPoints Transposed'!A:A, 'MaxPayPoints Transposed'!J:J, "missing", -1)/26</f>
        <v>6572.3846153846152</v>
      </c>
    </row>
    <row r="174" spans="1:10" x14ac:dyDescent="0.35">
      <c r="A174" s="7">
        <v>46247</v>
      </c>
      <c r="B174" s="20">
        <f>_xlfn.XLOOKUP(A174, CPI!A:A, CPI!B:B, "missing",-1,1)/6.5</f>
        <v>9.2307692307692299E-2</v>
      </c>
      <c r="C174" s="21">
        <f>_xlfn.XLOOKUP(A174, SLCI!A:A, SLCI!B:B, "missing", -1)/6.5</f>
        <v>0.21538461538461537</v>
      </c>
      <c r="D174" s="9">
        <f>_xlfn.XLOOKUP(A174, 'MaxPayPoints Transposed'!A:A, 'MaxPayPoints Transposed'!D:D, "missing", -1)/26</f>
        <v>2954.6153846153848</v>
      </c>
      <c r="E174" s="9">
        <f>_xlfn.XLOOKUP(A174, 'MaxPayPoints Transposed'!A:A, 'MaxPayPoints Transposed'!E:E, "missing", -1)/26</f>
        <v>3317.1538461538462</v>
      </c>
      <c r="F174" s="9">
        <f>_xlfn.XLOOKUP(A174, 'MaxPayPoints Transposed'!A:A, 'MaxPayPoints Transposed'!F:F, "missing", -1)/26</f>
        <v>3724.1923076923076</v>
      </c>
      <c r="G174" s="9">
        <f>_xlfn.XLOOKUP(A174, 'MaxPayPoints Transposed'!A:A, 'MaxPayPoints Transposed'!G:G, "missing", -1)/26</f>
        <v>4296.1923076923076</v>
      </c>
      <c r="H174" s="9">
        <f>_xlfn.XLOOKUP(A174, 'MaxPayPoints Transposed'!A:A, 'MaxPayPoints Transposed'!H:H, "missing", -1)/26</f>
        <v>5104.3461538461543</v>
      </c>
      <c r="I174" s="9">
        <f>_xlfn.XLOOKUP(A174, 'MaxPayPoints Transposed'!A:A, 'MaxPayPoints Transposed'!I:I, "missing", -1)/26</f>
        <v>6047.8076923076924</v>
      </c>
      <c r="J174" s="9">
        <f>_xlfn.XLOOKUP(A174, 'MaxPayPoints Transposed'!A:A, 'MaxPayPoints Transposed'!J:J, "missing", -1)/26</f>
        <v>6572.3846153846152</v>
      </c>
    </row>
    <row r="175" spans="1:10" x14ac:dyDescent="0.35">
      <c r="A175" s="7">
        <v>46261</v>
      </c>
      <c r="B175" s="20">
        <f>_xlfn.XLOOKUP(A175, CPI!A:A, CPI!B:B, "missing",-1,1)/6.5</f>
        <v>9.2307692307692299E-2</v>
      </c>
      <c r="C175" s="21">
        <f>_xlfn.XLOOKUP(A175, SLCI!A:A, SLCI!B:B, "missing", -1)/6.5</f>
        <v>0.21538461538461537</v>
      </c>
      <c r="D175" s="9">
        <f>_xlfn.XLOOKUP(A175, 'MaxPayPoints Transposed'!A:A, 'MaxPayPoints Transposed'!D:D, "missing", -1)/26</f>
        <v>2954.6153846153848</v>
      </c>
      <c r="E175" s="9">
        <f>_xlfn.XLOOKUP(A175, 'MaxPayPoints Transposed'!A:A, 'MaxPayPoints Transposed'!E:E, "missing", -1)/26</f>
        <v>3317.1538461538462</v>
      </c>
      <c r="F175" s="9">
        <f>_xlfn.XLOOKUP(A175, 'MaxPayPoints Transposed'!A:A, 'MaxPayPoints Transposed'!F:F, "missing", -1)/26</f>
        <v>3724.1923076923076</v>
      </c>
      <c r="G175" s="9">
        <f>_xlfn.XLOOKUP(A175, 'MaxPayPoints Transposed'!A:A, 'MaxPayPoints Transposed'!G:G, "missing", -1)/26</f>
        <v>4296.1923076923076</v>
      </c>
      <c r="H175" s="9">
        <f>_xlfn.XLOOKUP(A175, 'MaxPayPoints Transposed'!A:A, 'MaxPayPoints Transposed'!H:H, "missing", -1)/26</f>
        <v>5104.3461538461543</v>
      </c>
      <c r="I175" s="9">
        <f>_xlfn.XLOOKUP(A175, 'MaxPayPoints Transposed'!A:A, 'MaxPayPoints Transposed'!I:I, "missing", -1)/26</f>
        <v>6047.8076923076924</v>
      </c>
      <c r="J175" s="9">
        <f>_xlfn.XLOOKUP(A175, 'MaxPayPoints Transposed'!A:A, 'MaxPayPoints Transposed'!J:J, "missing", -1)/26</f>
        <v>6572.3846153846152</v>
      </c>
    </row>
    <row r="176" spans="1:10" x14ac:dyDescent="0.35">
      <c r="A176" s="7">
        <v>46275</v>
      </c>
      <c r="B176" s="20">
        <f>_xlfn.XLOOKUP(A176, CPI!A:A, CPI!B:B, "missing",-1,1)/6.5</f>
        <v>9.2307692307692299E-2</v>
      </c>
      <c r="C176" s="21">
        <f>_xlfn.XLOOKUP(A176, SLCI!A:A, SLCI!B:B, "missing", -1)/6.5</f>
        <v>0.21538461538461537</v>
      </c>
      <c r="D176" s="9">
        <f>_xlfn.XLOOKUP(A176, 'MaxPayPoints Transposed'!A:A, 'MaxPayPoints Transposed'!D:D, "missing", -1)/26</f>
        <v>2954.6153846153848</v>
      </c>
      <c r="E176" s="9">
        <f>_xlfn.XLOOKUP(A176, 'MaxPayPoints Transposed'!A:A, 'MaxPayPoints Transposed'!E:E, "missing", -1)/26</f>
        <v>3317.1538461538462</v>
      </c>
      <c r="F176" s="9">
        <f>_xlfn.XLOOKUP(A176, 'MaxPayPoints Transposed'!A:A, 'MaxPayPoints Transposed'!F:F, "missing", -1)/26</f>
        <v>3724.1923076923076</v>
      </c>
      <c r="G176" s="9">
        <f>_xlfn.XLOOKUP(A176, 'MaxPayPoints Transposed'!A:A, 'MaxPayPoints Transposed'!G:G, "missing", -1)/26</f>
        <v>4296.1923076923076</v>
      </c>
      <c r="H176" s="9">
        <f>_xlfn.XLOOKUP(A176, 'MaxPayPoints Transposed'!A:A, 'MaxPayPoints Transposed'!H:H, "missing", -1)/26</f>
        <v>5104.3461538461543</v>
      </c>
      <c r="I176" s="9">
        <f>_xlfn.XLOOKUP(A176, 'MaxPayPoints Transposed'!A:A, 'MaxPayPoints Transposed'!I:I, "missing", -1)/26</f>
        <v>6047.8076923076924</v>
      </c>
      <c r="J176" s="9">
        <f>_xlfn.XLOOKUP(A176, 'MaxPayPoints Transposed'!A:A, 'MaxPayPoints Transposed'!J:J, "missing", -1)/26</f>
        <v>6572.3846153846152</v>
      </c>
    </row>
    <row r="177" spans="1:10" x14ac:dyDescent="0.35">
      <c r="A177" s="7">
        <v>46289</v>
      </c>
      <c r="B177" s="20">
        <f>_xlfn.XLOOKUP(A177, CPI!A:A, CPI!B:B, "missing",-1,1)/6.5</f>
        <v>9.2307692307692299E-2</v>
      </c>
      <c r="C177" s="21">
        <f>_xlfn.XLOOKUP(A177, SLCI!A:A, SLCI!B:B, "missing", -1)/6.5</f>
        <v>0.21538461538461537</v>
      </c>
      <c r="D177" s="9">
        <f>_xlfn.XLOOKUP(A177, 'MaxPayPoints Transposed'!A:A, 'MaxPayPoints Transposed'!D:D, "missing", -1)/26</f>
        <v>2954.6153846153848</v>
      </c>
      <c r="E177" s="9">
        <f>_xlfn.XLOOKUP(A177, 'MaxPayPoints Transposed'!A:A, 'MaxPayPoints Transposed'!E:E, "missing", -1)/26</f>
        <v>3317.1538461538462</v>
      </c>
      <c r="F177" s="9">
        <f>_xlfn.XLOOKUP(A177, 'MaxPayPoints Transposed'!A:A, 'MaxPayPoints Transposed'!F:F, "missing", -1)/26</f>
        <v>3724.1923076923076</v>
      </c>
      <c r="G177" s="9">
        <f>_xlfn.XLOOKUP(A177, 'MaxPayPoints Transposed'!A:A, 'MaxPayPoints Transposed'!G:G, "missing", -1)/26</f>
        <v>4296.1923076923076</v>
      </c>
      <c r="H177" s="9">
        <f>_xlfn.XLOOKUP(A177, 'MaxPayPoints Transposed'!A:A, 'MaxPayPoints Transposed'!H:H, "missing", -1)/26</f>
        <v>5104.3461538461543</v>
      </c>
      <c r="I177" s="9">
        <f>_xlfn.XLOOKUP(A177, 'MaxPayPoints Transposed'!A:A, 'MaxPayPoints Transposed'!I:I, "missing", -1)/26</f>
        <v>6047.8076923076924</v>
      </c>
      <c r="J177" s="9">
        <f>_xlfn.XLOOKUP(A177, 'MaxPayPoints Transposed'!A:A, 'MaxPayPoints Transposed'!J:J, "missing", -1)/26</f>
        <v>6572.3846153846152</v>
      </c>
    </row>
    <row r="178" spans="1:10" x14ac:dyDescent="0.35">
      <c r="A178" s="7">
        <v>46303</v>
      </c>
      <c r="B178" s="20">
        <f>_xlfn.XLOOKUP(A178, CPI!A:A, CPI!B:B, "missing",-1,1)/6.5</f>
        <v>9.2307692307692299E-2</v>
      </c>
      <c r="C178" s="21">
        <f>_xlfn.XLOOKUP(A178, SLCI!A:A, SLCI!B:B, "missing", -1)/6.5</f>
        <v>0.21538461538461537</v>
      </c>
      <c r="D178" s="9">
        <f>_xlfn.XLOOKUP(A178, 'MaxPayPoints Transposed'!A:A, 'MaxPayPoints Transposed'!D:D, "missing", -1)/26</f>
        <v>2954.6153846153848</v>
      </c>
      <c r="E178" s="9">
        <f>_xlfn.XLOOKUP(A178, 'MaxPayPoints Transposed'!A:A, 'MaxPayPoints Transposed'!E:E, "missing", -1)/26</f>
        <v>3317.1538461538462</v>
      </c>
      <c r="F178" s="9">
        <f>_xlfn.XLOOKUP(A178, 'MaxPayPoints Transposed'!A:A, 'MaxPayPoints Transposed'!F:F, "missing", -1)/26</f>
        <v>3724.1923076923076</v>
      </c>
      <c r="G178" s="9">
        <f>_xlfn.XLOOKUP(A178, 'MaxPayPoints Transposed'!A:A, 'MaxPayPoints Transposed'!G:G, "missing", -1)/26</f>
        <v>4296.1923076923076</v>
      </c>
      <c r="H178" s="9">
        <f>_xlfn.XLOOKUP(A178, 'MaxPayPoints Transposed'!A:A, 'MaxPayPoints Transposed'!H:H, "missing", -1)/26</f>
        <v>5104.3461538461543</v>
      </c>
      <c r="I178" s="9">
        <f>_xlfn.XLOOKUP(A178, 'MaxPayPoints Transposed'!A:A, 'MaxPayPoints Transposed'!I:I, "missing", -1)/26</f>
        <v>6047.8076923076924</v>
      </c>
      <c r="J178" s="9">
        <f>_xlfn.XLOOKUP(A178, 'MaxPayPoints Transposed'!A:A, 'MaxPayPoints Transposed'!J:J, "missing", -1)/26</f>
        <v>6572.3846153846152</v>
      </c>
    </row>
    <row r="179" spans="1:10" x14ac:dyDescent="0.35">
      <c r="A179" s="7">
        <v>46317</v>
      </c>
      <c r="B179" s="20">
        <f>_xlfn.XLOOKUP(A179, CPI!A:A, CPI!B:B, "missing",-1,1)/6.5</f>
        <v>9.2307692307692299E-2</v>
      </c>
      <c r="C179" s="21">
        <f>_xlfn.XLOOKUP(A179, SLCI!A:A, SLCI!B:B, "missing", -1)/6.5</f>
        <v>0.21538461538461537</v>
      </c>
      <c r="D179" s="9">
        <f>_xlfn.XLOOKUP(A179, 'MaxPayPoints Transposed'!A:A, 'MaxPayPoints Transposed'!D:D, "missing", -1)/26</f>
        <v>2954.6153846153848</v>
      </c>
      <c r="E179" s="9">
        <f>_xlfn.XLOOKUP(A179, 'MaxPayPoints Transposed'!A:A, 'MaxPayPoints Transposed'!E:E, "missing", -1)/26</f>
        <v>3317.1538461538462</v>
      </c>
      <c r="F179" s="9">
        <f>_xlfn.XLOOKUP(A179, 'MaxPayPoints Transposed'!A:A, 'MaxPayPoints Transposed'!F:F, "missing", -1)/26</f>
        <v>3724.1923076923076</v>
      </c>
      <c r="G179" s="9">
        <f>_xlfn.XLOOKUP(A179, 'MaxPayPoints Transposed'!A:A, 'MaxPayPoints Transposed'!G:G, "missing", -1)/26</f>
        <v>4296.1923076923076</v>
      </c>
      <c r="H179" s="9">
        <f>_xlfn.XLOOKUP(A179, 'MaxPayPoints Transposed'!A:A, 'MaxPayPoints Transposed'!H:H, "missing", -1)/26</f>
        <v>5104.3461538461543</v>
      </c>
      <c r="I179" s="9">
        <f>_xlfn.XLOOKUP(A179, 'MaxPayPoints Transposed'!A:A, 'MaxPayPoints Transposed'!I:I, "missing", -1)/26</f>
        <v>6047.8076923076924</v>
      </c>
      <c r="J179" s="9">
        <f>_xlfn.XLOOKUP(A179, 'MaxPayPoints Transposed'!A:A, 'MaxPayPoints Transposed'!J:J, "missing", -1)/26</f>
        <v>6572.3846153846152</v>
      </c>
    </row>
    <row r="180" spans="1:10" x14ac:dyDescent="0.35">
      <c r="A180" s="7">
        <v>46331</v>
      </c>
      <c r="B180" s="20">
        <f>_xlfn.XLOOKUP(A180, CPI!A:A, CPI!B:B, "missing",-1,1)/6.5</f>
        <v>9.2307692307692299E-2</v>
      </c>
      <c r="C180" s="21">
        <f>_xlfn.XLOOKUP(A180, SLCI!A:A, SLCI!B:B, "missing", -1)/6.5</f>
        <v>0.21538461538461537</v>
      </c>
      <c r="D180" s="9">
        <f>_xlfn.XLOOKUP(A180, 'MaxPayPoints Transposed'!A:A, 'MaxPayPoints Transposed'!D:D, "missing", -1)/26</f>
        <v>2954.6153846153848</v>
      </c>
      <c r="E180" s="9">
        <f>_xlfn.XLOOKUP(A180, 'MaxPayPoints Transposed'!A:A, 'MaxPayPoints Transposed'!E:E, "missing", -1)/26</f>
        <v>3317.1538461538462</v>
      </c>
      <c r="F180" s="9">
        <f>_xlfn.XLOOKUP(A180, 'MaxPayPoints Transposed'!A:A, 'MaxPayPoints Transposed'!F:F, "missing", -1)/26</f>
        <v>3724.1923076923076</v>
      </c>
      <c r="G180" s="9">
        <f>_xlfn.XLOOKUP(A180, 'MaxPayPoints Transposed'!A:A, 'MaxPayPoints Transposed'!G:G, "missing", -1)/26</f>
        <v>4296.1923076923076</v>
      </c>
      <c r="H180" s="9">
        <f>_xlfn.XLOOKUP(A180, 'MaxPayPoints Transposed'!A:A, 'MaxPayPoints Transposed'!H:H, "missing", -1)/26</f>
        <v>5104.3461538461543</v>
      </c>
      <c r="I180" s="9">
        <f>_xlfn.XLOOKUP(A180, 'MaxPayPoints Transposed'!A:A, 'MaxPayPoints Transposed'!I:I, "missing", -1)/26</f>
        <v>6047.8076923076924</v>
      </c>
      <c r="J180" s="9">
        <f>_xlfn.XLOOKUP(A180, 'MaxPayPoints Transposed'!A:A, 'MaxPayPoints Transposed'!J:J, "missing", -1)/26</f>
        <v>6572.3846153846152</v>
      </c>
    </row>
    <row r="181" spans="1:10" x14ac:dyDescent="0.35">
      <c r="A181" s="7">
        <v>46345</v>
      </c>
      <c r="B181" s="20">
        <f>_xlfn.XLOOKUP(A181, CPI!A:A, CPI!B:B, "missing",-1,1)/6.5</f>
        <v>9.2307692307692299E-2</v>
      </c>
      <c r="C181" s="21">
        <f>_xlfn.XLOOKUP(A181, SLCI!A:A, SLCI!B:B, "missing", -1)/6.5</f>
        <v>0.21538461538461537</v>
      </c>
      <c r="D181" s="9">
        <f>_xlfn.XLOOKUP(A181, 'MaxPayPoints Transposed'!A:A, 'MaxPayPoints Transposed'!D:D, "missing", -1)/26</f>
        <v>2954.6153846153848</v>
      </c>
      <c r="E181" s="9">
        <f>_xlfn.XLOOKUP(A181, 'MaxPayPoints Transposed'!A:A, 'MaxPayPoints Transposed'!E:E, "missing", -1)/26</f>
        <v>3317.1538461538462</v>
      </c>
      <c r="F181" s="9">
        <f>_xlfn.XLOOKUP(A181, 'MaxPayPoints Transposed'!A:A, 'MaxPayPoints Transposed'!F:F, "missing", -1)/26</f>
        <v>3724.1923076923076</v>
      </c>
      <c r="G181" s="9">
        <f>_xlfn.XLOOKUP(A181, 'MaxPayPoints Transposed'!A:A, 'MaxPayPoints Transposed'!G:G, "missing", -1)/26</f>
        <v>4296.1923076923076</v>
      </c>
      <c r="H181" s="9">
        <f>_xlfn.XLOOKUP(A181, 'MaxPayPoints Transposed'!A:A, 'MaxPayPoints Transposed'!H:H, "missing", -1)/26</f>
        <v>5104.3461538461543</v>
      </c>
      <c r="I181" s="9">
        <f>_xlfn.XLOOKUP(A181, 'MaxPayPoints Transposed'!A:A, 'MaxPayPoints Transposed'!I:I, "missing", -1)/26</f>
        <v>6047.8076923076924</v>
      </c>
      <c r="J181" s="9">
        <f>_xlfn.XLOOKUP(A181, 'MaxPayPoints Transposed'!A:A, 'MaxPayPoints Transposed'!J:J, "missing", -1)/26</f>
        <v>6572.3846153846152</v>
      </c>
    </row>
    <row r="182" spans="1:10" x14ac:dyDescent="0.35">
      <c r="A182" s="7">
        <v>46359</v>
      </c>
      <c r="B182" s="20">
        <f>_xlfn.XLOOKUP(A182, CPI!A:A, CPI!B:B, "missing",-1,1)/6.5</f>
        <v>9.2307692307692299E-2</v>
      </c>
      <c r="C182" s="21">
        <f>_xlfn.XLOOKUP(A182, SLCI!A:A, SLCI!B:B, "missing", -1)/6.5</f>
        <v>0.21538461538461537</v>
      </c>
      <c r="D182" s="9">
        <f>_xlfn.XLOOKUP(A182, 'MaxPayPoints Transposed'!A:A, 'MaxPayPoints Transposed'!D:D, "missing", -1)/26</f>
        <v>2954.6153846153848</v>
      </c>
      <c r="E182" s="9">
        <f>_xlfn.XLOOKUP(A182, 'MaxPayPoints Transposed'!A:A, 'MaxPayPoints Transposed'!E:E, "missing", -1)/26</f>
        <v>3317.1538461538462</v>
      </c>
      <c r="F182" s="9">
        <f>_xlfn.XLOOKUP(A182, 'MaxPayPoints Transposed'!A:A, 'MaxPayPoints Transposed'!F:F, "missing", -1)/26</f>
        <v>3724.1923076923076</v>
      </c>
      <c r="G182" s="9">
        <f>_xlfn.XLOOKUP(A182, 'MaxPayPoints Transposed'!A:A, 'MaxPayPoints Transposed'!G:G, "missing", -1)/26</f>
        <v>4296.1923076923076</v>
      </c>
      <c r="H182" s="9">
        <f>_xlfn.XLOOKUP(A182, 'MaxPayPoints Transposed'!A:A, 'MaxPayPoints Transposed'!H:H, "missing", -1)/26</f>
        <v>5104.3461538461543</v>
      </c>
      <c r="I182" s="9">
        <f>_xlfn.XLOOKUP(A182, 'MaxPayPoints Transposed'!A:A, 'MaxPayPoints Transposed'!I:I, "missing", -1)/26</f>
        <v>6047.8076923076924</v>
      </c>
      <c r="J182" s="9">
        <f>_xlfn.XLOOKUP(A182, 'MaxPayPoints Transposed'!A:A, 'MaxPayPoints Transposed'!J:J, "missing", -1)/26</f>
        <v>6572.3846153846152</v>
      </c>
    </row>
    <row r="183" spans="1:10" x14ac:dyDescent="0.35">
      <c r="A183" s="7">
        <v>46373</v>
      </c>
      <c r="B183" s="20">
        <f>_xlfn.XLOOKUP(A183, CPI!A:A, CPI!B:B, "missing",-1,1)/6.5</f>
        <v>9.2307692307692299E-2</v>
      </c>
      <c r="C183" s="21">
        <f>_xlfn.XLOOKUP(A183, SLCI!A:A, SLCI!B:B, "missing", -1)/6.5</f>
        <v>0.21538461538461537</v>
      </c>
      <c r="D183" s="9">
        <f>_xlfn.XLOOKUP(A183, 'MaxPayPoints Transposed'!A:A, 'MaxPayPoints Transposed'!D:D, "missing", -1)/26</f>
        <v>2954.6153846153848</v>
      </c>
      <c r="E183" s="9">
        <f>_xlfn.XLOOKUP(A183, 'MaxPayPoints Transposed'!A:A, 'MaxPayPoints Transposed'!E:E, "missing", -1)/26</f>
        <v>3317.1538461538462</v>
      </c>
      <c r="F183" s="9">
        <f>_xlfn.XLOOKUP(A183, 'MaxPayPoints Transposed'!A:A, 'MaxPayPoints Transposed'!F:F, "missing", -1)/26</f>
        <v>3724.1923076923076</v>
      </c>
      <c r="G183" s="9">
        <f>_xlfn.XLOOKUP(A183, 'MaxPayPoints Transposed'!A:A, 'MaxPayPoints Transposed'!G:G, "missing", -1)/26</f>
        <v>4296.1923076923076</v>
      </c>
      <c r="H183" s="9">
        <f>_xlfn.XLOOKUP(A183, 'MaxPayPoints Transposed'!A:A, 'MaxPayPoints Transposed'!H:H, "missing", -1)/26</f>
        <v>5104.3461538461543</v>
      </c>
      <c r="I183" s="9">
        <f>_xlfn.XLOOKUP(A183, 'MaxPayPoints Transposed'!A:A, 'MaxPayPoints Transposed'!I:I, "missing", -1)/26</f>
        <v>6047.8076923076924</v>
      </c>
      <c r="J183" s="9">
        <f>_xlfn.XLOOKUP(A183, 'MaxPayPoints Transposed'!A:A, 'MaxPayPoints Transposed'!J:J, "missing", -1)/26</f>
        <v>6572.3846153846152</v>
      </c>
    </row>
    <row r="184" spans="1:10" x14ac:dyDescent="0.35">
      <c r="A184" s="7">
        <v>46387</v>
      </c>
      <c r="B184" s="20">
        <f>_xlfn.XLOOKUP(A184, CPI!A:A, CPI!B:B, "missing",-1,1)/6.5</f>
        <v>9.2307692307692299E-2</v>
      </c>
      <c r="C184" s="21">
        <f>_xlfn.XLOOKUP(A184, SLCI!A:A, SLCI!B:B, "missing", -1)/6.5</f>
        <v>0.21538461538461537</v>
      </c>
      <c r="D184" s="9">
        <f>_xlfn.XLOOKUP(A184, 'MaxPayPoints Transposed'!A:A, 'MaxPayPoints Transposed'!D:D, "missing", -1)/26</f>
        <v>2954.6153846153848</v>
      </c>
      <c r="E184" s="9">
        <f>_xlfn.XLOOKUP(A184, 'MaxPayPoints Transposed'!A:A, 'MaxPayPoints Transposed'!E:E, "missing", -1)/26</f>
        <v>3317.1538461538462</v>
      </c>
      <c r="F184" s="9">
        <f>_xlfn.XLOOKUP(A184, 'MaxPayPoints Transposed'!A:A, 'MaxPayPoints Transposed'!F:F, "missing", -1)/26</f>
        <v>3724.1923076923076</v>
      </c>
      <c r="G184" s="9">
        <f>_xlfn.XLOOKUP(A184, 'MaxPayPoints Transposed'!A:A, 'MaxPayPoints Transposed'!G:G, "missing", -1)/26</f>
        <v>4296.1923076923076</v>
      </c>
      <c r="H184" s="9">
        <f>_xlfn.XLOOKUP(A184, 'MaxPayPoints Transposed'!A:A, 'MaxPayPoints Transposed'!H:H, "missing", -1)/26</f>
        <v>5104.3461538461543</v>
      </c>
      <c r="I184" s="9">
        <f>_xlfn.XLOOKUP(A184, 'MaxPayPoints Transposed'!A:A, 'MaxPayPoints Transposed'!I:I, "missing", -1)/26</f>
        <v>6047.8076923076924</v>
      </c>
      <c r="J184" s="9">
        <f>_xlfn.XLOOKUP(A184, 'MaxPayPoints Transposed'!A:A, 'MaxPayPoints Transposed'!J:J, "missing", -1)/26</f>
        <v>6572.3846153846152</v>
      </c>
    </row>
    <row r="185" spans="1:10" x14ac:dyDescent="0.35">
      <c r="A185" s="7">
        <v>46401</v>
      </c>
      <c r="B185" s="20">
        <f>_xlfn.XLOOKUP(A185, CPI!A:A, CPI!B:B, "missing",-1,1)/6.5</f>
        <v>9.2307692307692299E-2</v>
      </c>
      <c r="C185" s="21">
        <f>_xlfn.XLOOKUP(A185, SLCI!A:A, SLCI!B:B, "missing", -1)/6.5</f>
        <v>0.21538461538461537</v>
      </c>
      <c r="D185" s="9">
        <f>_xlfn.XLOOKUP(A185, 'MaxPayPoints Transposed'!A:A, 'MaxPayPoints Transposed'!D:D, "missing", -1)/26</f>
        <v>2954.6153846153848</v>
      </c>
      <c r="E185" s="9">
        <f>_xlfn.XLOOKUP(A185, 'MaxPayPoints Transposed'!A:A, 'MaxPayPoints Transposed'!E:E, "missing", -1)/26</f>
        <v>3317.1538461538462</v>
      </c>
      <c r="F185" s="9">
        <f>_xlfn.XLOOKUP(A185, 'MaxPayPoints Transposed'!A:A, 'MaxPayPoints Transposed'!F:F, "missing", -1)/26</f>
        <v>3724.1923076923076</v>
      </c>
      <c r="G185" s="9">
        <f>_xlfn.XLOOKUP(A185, 'MaxPayPoints Transposed'!A:A, 'MaxPayPoints Transposed'!G:G, "missing", -1)/26</f>
        <v>4296.1923076923076</v>
      </c>
      <c r="H185" s="9">
        <f>_xlfn.XLOOKUP(A185, 'MaxPayPoints Transposed'!A:A, 'MaxPayPoints Transposed'!H:H, "missing", -1)/26</f>
        <v>5104.3461538461543</v>
      </c>
      <c r="I185" s="9">
        <f>_xlfn.XLOOKUP(A185, 'MaxPayPoints Transposed'!A:A, 'MaxPayPoints Transposed'!I:I, "missing", -1)/26</f>
        <v>6047.8076923076924</v>
      </c>
      <c r="J185" s="9">
        <f>_xlfn.XLOOKUP(A185, 'MaxPayPoints Transposed'!A:A, 'MaxPayPoints Transposed'!J:J, "missing", -1)/26</f>
        <v>6572.3846153846152</v>
      </c>
    </row>
    <row r="186" spans="1:10" x14ac:dyDescent="0.35">
      <c r="A186" s="7">
        <v>46415</v>
      </c>
      <c r="B186" s="20">
        <f>_xlfn.XLOOKUP(A186, CPI!A:A, CPI!B:B, "missing",-1,1)/6.5</f>
        <v>9.2307692307692299E-2</v>
      </c>
      <c r="C186" s="21">
        <f>_xlfn.XLOOKUP(A186, SLCI!A:A, SLCI!B:B, "missing", -1)/6.5</f>
        <v>0.21538461538461537</v>
      </c>
      <c r="D186" s="9">
        <f>_xlfn.XLOOKUP(A186, 'MaxPayPoints Transposed'!A:A, 'MaxPayPoints Transposed'!D:D, "missing", -1)/26</f>
        <v>2954.6153846153848</v>
      </c>
      <c r="E186" s="9">
        <f>_xlfn.XLOOKUP(A186, 'MaxPayPoints Transposed'!A:A, 'MaxPayPoints Transposed'!E:E, "missing", -1)/26</f>
        <v>3317.1538461538462</v>
      </c>
      <c r="F186" s="9">
        <f>_xlfn.XLOOKUP(A186, 'MaxPayPoints Transposed'!A:A, 'MaxPayPoints Transposed'!F:F, "missing", -1)/26</f>
        <v>3724.1923076923076</v>
      </c>
      <c r="G186" s="9">
        <f>_xlfn.XLOOKUP(A186, 'MaxPayPoints Transposed'!A:A, 'MaxPayPoints Transposed'!G:G, "missing", -1)/26</f>
        <v>4296.1923076923076</v>
      </c>
      <c r="H186" s="9">
        <f>_xlfn.XLOOKUP(A186, 'MaxPayPoints Transposed'!A:A, 'MaxPayPoints Transposed'!H:H, "missing", -1)/26</f>
        <v>5104.3461538461543</v>
      </c>
      <c r="I186" s="9">
        <f>_xlfn.XLOOKUP(A186, 'MaxPayPoints Transposed'!A:A, 'MaxPayPoints Transposed'!I:I, "missing", -1)/26</f>
        <v>6047.8076923076924</v>
      </c>
      <c r="J186" s="9">
        <f>_xlfn.XLOOKUP(A186, 'MaxPayPoints Transposed'!A:A, 'MaxPayPoints Transposed'!J:J, "missing", -1)/26</f>
        <v>6572.3846153846152</v>
      </c>
    </row>
    <row r="187" spans="1:10" x14ac:dyDescent="0.35">
      <c r="A187" s="7">
        <v>46429</v>
      </c>
      <c r="B187" s="20">
        <f>_xlfn.XLOOKUP(A187, CPI!A:A, CPI!B:B, "missing",-1,1)/6.5</f>
        <v>9.2307692307692299E-2</v>
      </c>
      <c r="C187" s="21">
        <f>_xlfn.XLOOKUP(A187, SLCI!A:A, SLCI!B:B, "missing", -1)/6.5</f>
        <v>0.21538461538461537</v>
      </c>
      <c r="D187" s="9">
        <f>_xlfn.XLOOKUP(A187, 'MaxPayPoints Transposed'!A:A, 'MaxPayPoints Transposed'!D:D, "missing", -1)/26</f>
        <v>2954.6153846153848</v>
      </c>
      <c r="E187" s="9">
        <f>_xlfn.XLOOKUP(A187, 'MaxPayPoints Transposed'!A:A, 'MaxPayPoints Transposed'!E:E, "missing", -1)/26</f>
        <v>3317.1538461538462</v>
      </c>
      <c r="F187" s="9">
        <f>_xlfn.XLOOKUP(A187, 'MaxPayPoints Transposed'!A:A, 'MaxPayPoints Transposed'!F:F, "missing", -1)/26</f>
        <v>3724.1923076923076</v>
      </c>
      <c r="G187" s="9">
        <f>_xlfn.XLOOKUP(A187, 'MaxPayPoints Transposed'!A:A, 'MaxPayPoints Transposed'!G:G, "missing", -1)/26</f>
        <v>4296.1923076923076</v>
      </c>
      <c r="H187" s="9">
        <f>_xlfn.XLOOKUP(A187, 'MaxPayPoints Transposed'!A:A, 'MaxPayPoints Transposed'!H:H, "missing", -1)/26</f>
        <v>5104.3461538461543</v>
      </c>
      <c r="I187" s="9">
        <f>_xlfn.XLOOKUP(A187, 'MaxPayPoints Transposed'!A:A, 'MaxPayPoints Transposed'!I:I, "missing", -1)/26</f>
        <v>6047.8076923076924</v>
      </c>
      <c r="J187" s="9">
        <f>_xlfn.XLOOKUP(A187, 'MaxPayPoints Transposed'!A:A, 'MaxPayPoints Transposed'!J:J, "missing", -1)/26</f>
        <v>6572.3846153846152</v>
      </c>
    </row>
    <row r="188" spans="1:10" x14ac:dyDescent="0.35">
      <c r="A188" s="7">
        <v>46443</v>
      </c>
      <c r="B188" s="20">
        <f>_xlfn.XLOOKUP(A188, CPI!A:A, CPI!B:B, "missing",-1,1)/6.5</f>
        <v>9.2307692307692299E-2</v>
      </c>
      <c r="C188" s="21">
        <f>_xlfn.XLOOKUP(A188, SLCI!A:A, SLCI!B:B, "missing", -1)/6.5</f>
        <v>0.21538461538461537</v>
      </c>
      <c r="D188" s="9">
        <f>_xlfn.XLOOKUP(A188, 'MaxPayPoints Transposed'!A:A, 'MaxPayPoints Transposed'!D:D, "missing", -1)/26</f>
        <v>2954.6153846153848</v>
      </c>
      <c r="E188" s="9">
        <f>_xlfn.XLOOKUP(A188, 'MaxPayPoints Transposed'!A:A, 'MaxPayPoints Transposed'!E:E, "missing", -1)/26</f>
        <v>3317.1538461538462</v>
      </c>
      <c r="F188" s="9">
        <f>_xlfn.XLOOKUP(A188, 'MaxPayPoints Transposed'!A:A, 'MaxPayPoints Transposed'!F:F, "missing", -1)/26</f>
        <v>3724.1923076923076</v>
      </c>
      <c r="G188" s="9">
        <f>_xlfn.XLOOKUP(A188, 'MaxPayPoints Transposed'!A:A, 'MaxPayPoints Transposed'!G:G, "missing", -1)/26</f>
        <v>4296.1923076923076</v>
      </c>
      <c r="H188" s="9">
        <f>_xlfn.XLOOKUP(A188, 'MaxPayPoints Transposed'!A:A, 'MaxPayPoints Transposed'!H:H, "missing", -1)/26</f>
        <v>5104.3461538461543</v>
      </c>
      <c r="I188" s="9">
        <f>_xlfn.XLOOKUP(A188, 'MaxPayPoints Transposed'!A:A, 'MaxPayPoints Transposed'!I:I, "missing", -1)/26</f>
        <v>6047.8076923076924</v>
      </c>
      <c r="J188" s="9">
        <f>_xlfn.XLOOKUP(A188, 'MaxPayPoints Transposed'!A:A, 'MaxPayPoints Transposed'!J:J, "missing", -1)/26</f>
        <v>6572.3846153846152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55edad5e-85c4-4d99-839f-4db88ccef5c5}" enabled="1" method="Standard" siteId="{d1ad7db5-97dd-4f2b-816e-50d663b7bb94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AllPayPoints</vt:lpstr>
      <vt:lpstr>MaxPayPoints</vt:lpstr>
      <vt:lpstr>MaxPayPoints Transposed</vt:lpstr>
      <vt:lpstr>CPI</vt:lpstr>
      <vt:lpstr>SLCI</vt:lpstr>
      <vt:lpstr>Fortnightly Pay</vt:lpstr>
    </vt:vector>
  </TitlesOfParts>
  <Company>Bureau of Meteorology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Jonah Sullivan</dc:creator>
  <cp:lastModifiedBy>Jonah Sullivan</cp:lastModifiedBy>
  <dcterms:created xsi:type="dcterms:W3CDTF">2026-07-07T00:51:14Z</dcterms:created>
  <dcterms:modified xsi:type="dcterms:W3CDTF">2026-07-07T04:08:38Z</dcterms:modified>
</cp:coreProperties>
</file>