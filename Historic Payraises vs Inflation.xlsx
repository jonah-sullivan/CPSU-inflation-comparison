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chartsheet+xml" PartName="/xl/chartsheets/sheet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riginal Data" sheetId="1" r:id="rId5"/>
    <sheet state="visible" name="Transposed Data" sheetId="2" r:id="rId6"/>
    <sheet state="visible" name="SLCI" sheetId="3" r:id="rId7"/>
    <sheet state="visible" name="CPI" sheetId="4" r:id="rId8"/>
    <sheet state="visible" name="Inflation Tables" sheetId="5" r:id="rId9"/>
    <sheet state="visible" name="Pay timeseries" sheetId="6" r:id="rId10"/>
    <sheet state="visible" name="Missing Pay" sheetId="7" r:id="rId11"/>
  </sheets>
  <definedNames/>
  <calcPr/>
</workbook>
</file>

<file path=xl/sharedStrings.xml><?xml version="1.0" encoding="utf-8"?>
<sst xmlns="http://schemas.openxmlformats.org/spreadsheetml/2006/main" count="122" uniqueCount="71">
  <si>
    <t>APS1.1</t>
  </si>
  <si>
    <t>APS1.2</t>
  </si>
  <si>
    <t>APS1.3</t>
  </si>
  <si>
    <t>APS2.1</t>
  </si>
  <si>
    <t>APS2.2</t>
  </si>
  <si>
    <t>APS2.3</t>
  </si>
  <si>
    <t>APS2.4</t>
  </si>
  <si>
    <t>APS2.5</t>
  </si>
  <si>
    <t>APS3.1</t>
  </si>
  <si>
    <t>APS3.2</t>
  </si>
  <si>
    <t>APS3.3</t>
  </si>
  <si>
    <t>APS3.4</t>
  </si>
  <si>
    <t>APS3.5</t>
  </si>
  <si>
    <t>APS4.1</t>
  </si>
  <si>
    <t>APS4.2</t>
  </si>
  <si>
    <t>APS4.3</t>
  </si>
  <si>
    <t>APS4.4</t>
  </si>
  <si>
    <t>APS5.1</t>
  </si>
  <si>
    <t>APS5.2</t>
  </si>
  <si>
    <t>APS5.3</t>
  </si>
  <si>
    <t>APS5.4</t>
  </si>
  <si>
    <t>APS6.1</t>
  </si>
  <si>
    <t>APS6.2</t>
  </si>
  <si>
    <t>APS6.3</t>
  </si>
  <si>
    <t>APS6.4</t>
  </si>
  <si>
    <t>APS6.5</t>
  </si>
  <si>
    <t>EL1.1</t>
  </si>
  <si>
    <t>EL1.2</t>
  </si>
  <si>
    <t>EL1.3</t>
  </si>
  <si>
    <t>EL1.4</t>
  </si>
  <si>
    <t>EL1.5</t>
  </si>
  <si>
    <t>EL2.1</t>
  </si>
  <si>
    <t>EL2.2</t>
  </si>
  <si>
    <t>EL2.3</t>
  </si>
  <si>
    <t>EL2.4</t>
  </si>
  <si>
    <t>EL2.5</t>
  </si>
  <si>
    <t>EL2.6</t>
  </si>
  <si>
    <t>EL2.7</t>
  </si>
  <si>
    <t>EL2.8</t>
  </si>
  <si>
    <t>EL2.9</t>
  </si>
  <si>
    <t>EL2.10</t>
  </si>
  <si>
    <t>EL2.11</t>
  </si>
  <si>
    <t>EL2.12</t>
  </si>
  <si>
    <t>EL2.13</t>
  </si>
  <si>
    <t>EBA Payraise Date</t>
  </si>
  <si>
    <t>Date</t>
  </si>
  <si>
    <t>Percentage Change from Previous Period ;  Employee households ;  All groups ;</t>
  </si>
  <si>
    <t>Percentage Change from Previous Period ; All groups CPI ; Australia ;</t>
  </si>
  <si>
    <t>Pay Date</t>
  </si>
  <si>
    <t>Monthly SLCI</t>
  </si>
  <si>
    <t>Monthly CPI</t>
  </si>
  <si>
    <t>APS4.4 Monthly Pay</t>
  </si>
  <si>
    <t>APS4.4 Monthly Pay with SLCI</t>
  </si>
  <si>
    <t>APS4.4 Difference</t>
  </si>
  <si>
    <t>APS4.4 cumulative difference</t>
  </si>
  <si>
    <t>APS5.4 Monthly Pay</t>
  </si>
  <si>
    <t>APS5.4 Monthly Pay with SLCI</t>
  </si>
  <si>
    <t>APS5.4 Difference</t>
  </si>
  <si>
    <t>APS5.4 cumulative difference</t>
  </si>
  <si>
    <t>APS6.5 Monthly Pay</t>
  </si>
  <si>
    <t>APS6.5 Monthly Pay with SLCI</t>
  </si>
  <si>
    <t>APS6.5 Difference</t>
  </si>
  <si>
    <t>APS6.5 cumulative difference</t>
  </si>
  <si>
    <t>EL1.5 Monthly Pay</t>
  </si>
  <si>
    <t>EL1.5 Monthly Pay with SLCI</t>
  </si>
  <si>
    <t>EL1.5 Difference</t>
  </si>
  <si>
    <t>EL1.5 cumulative difference</t>
  </si>
  <si>
    <t>EL2.6 Monthly Pay</t>
  </si>
  <si>
    <t>EL2.6 Monthly Pay with SLCI</t>
  </si>
  <si>
    <t>EL2.6 Difference</t>
  </si>
  <si>
    <t>EL2.6 cumulative difference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</si>
</sst>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&quot;$&quot;#,##0"/>
    <numFmt numFmtId="166" formatCode="dd/MM/yyyy"/>
    <numFmt numFmtId="167" formatCode="0.0;\-0.0;0.0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sz val="8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Font="1" applyNumberFormat="1"/>
    <xf borderId="0" fillId="0" fontId="1" numFmtId="0" xfId="0" applyFont="1"/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shrinkToFit="0" wrapText="1"/>
    </xf>
    <xf borderId="0" fillId="0" fontId="2" numFmtId="166" xfId="0" applyAlignment="1" applyFont="1" applyNumberFormat="1">
      <alignment vertical="bottom"/>
    </xf>
    <xf borderId="0" fillId="0" fontId="2" numFmtId="167" xfId="0" applyAlignment="1" applyFont="1" applyNumberFormat="1">
      <alignment horizontal="right" vertical="bottom"/>
    </xf>
    <xf borderId="0" fillId="0" fontId="1" numFmtId="0" xfId="0" applyAlignment="1" applyFont="1">
      <alignment readingOrder="0" shrinkToFit="0" vertical="top" wrapText="1"/>
    </xf>
    <xf borderId="0" fillId="0" fontId="3" numFmtId="0" xfId="0" applyAlignment="1" applyFont="1">
      <alignment horizontal="right" readingOrder="0" shrinkToFit="0" vertical="bottom" wrapText="1"/>
    </xf>
    <xf borderId="0" fillId="0" fontId="3" numFmtId="166" xfId="0" applyAlignment="1" applyFont="1" applyNumberFormat="1">
      <alignment horizontal="left"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1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6.xml"/><Relationship Id="rId10" Type="http://schemas.openxmlformats.org/officeDocument/2006/relationships/chartsheet" Target="chartsheets/sheet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'Transposed Data'!$B$1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Data'!$B$2:$B$21</c:f>
              <c:numCache/>
            </c:numRef>
          </c:val>
          <c:smooth val="0"/>
        </c:ser>
        <c:ser>
          <c:idx val="1"/>
          <c:order val="1"/>
          <c:tx>
            <c:strRef>
              <c:f>'Transposed Data'!$C$1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Data'!$C$2:$C$21</c:f>
              <c:numCache/>
            </c:numRef>
          </c:val>
          <c:smooth val="0"/>
        </c:ser>
        <c:ser>
          <c:idx val="2"/>
          <c:order val="2"/>
          <c:tx>
            <c:strRef>
              <c:f>'Transposed Data'!$D$1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Data'!$D$2:$D$21</c:f>
              <c:numCache/>
            </c:numRef>
          </c:val>
          <c:smooth val="0"/>
        </c:ser>
        <c:ser>
          <c:idx val="3"/>
          <c:order val="3"/>
          <c:tx>
            <c:strRef>
              <c:f>'Transposed Data'!$E$1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Data'!$E$2:$E$21</c:f>
              <c:numCache/>
            </c:numRef>
          </c:val>
          <c:smooth val="0"/>
        </c:ser>
        <c:ser>
          <c:idx val="4"/>
          <c:order val="4"/>
          <c:tx>
            <c:strRef>
              <c:f>'Transposed Data'!$F$1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Data'!$F$2:$F$21</c:f>
              <c:numCache/>
            </c:numRef>
          </c:val>
          <c:smooth val="0"/>
        </c:ser>
        <c:ser>
          <c:idx val="5"/>
          <c:order val="5"/>
          <c:tx>
            <c:strRef>
              <c:f>'Transposed Data'!$G$1</c:f>
            </c:strRef>
          </c:tx>
          <c:spPr>
            <a:ln cmpd="sng">
              <a:solidFill>
                <a:srgbClr val="46BDC6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Data'!$G$2:$G$21</c:f>
              <c:numCache/>
            </c:numRef>
          </c:val>
          <c:smooth val="0"/>
        </c:ser>
        <c:ser>
          <c:idx val="6"/>
          <c:order val="6"/>
          <c:tx>
            <c:strRef>
              <c:f>'Transposed Data'!$H$1</c:f>
            </c:strRef>
          </c:tx>
          <c:spPr>
            <a:ln cmpd="sng">
              <a:solidFill>
                <a:srgbClr val="7BAAF7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Data'!$H$2:$H$21</c:f>
              <c:numCache/>
            </c:numRef>
          </c:val>
          <c:smooth val="0"/>
        </c:ser>
        <c:ser>
          <c:idx val="7"/>
          <c:order val="7"/>
          <c:tx>
            <c:strRef>
              <c:f>'Transposed Data'!$I$1</c:f>
            </c:strRef>
          </c:tx>
          <c:spPr>
            <a:ln cmpd="sng">
              <a:solidFill>
                <a:srgbClr val="F07B72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Data'!$I$2:$I$21</c:f>
              <c:numCache/>
            </c:numRef>
          </c:val>
          <c:smooth val="0"/>
        </c:ser>
        <c:ser>
          <c:idx val="8"/>
          <c:order val="8"/>
          <c:tx>
            <c:strRef>
              <c:f>'Transposed Data'!$J$1</c:f>
            </c:strRef>
          </c:tx>
          <c:spPr>
            <a:ln cmpd="sng">
              <a:solidFill>
                <a:srgbClr val="FCD04F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Data'!$J$2:$J$21</c:f>
              <c:numCache/>
            </c:numRef>
          </c:val>
          <c:smooth val="0"/>
        </c:ser>
        <c:ser>
          <c:idx val="9"/>
          <c:order val="9"/>
          <c:tx>
            <c:strRef>
              <c:f>'Transposed Data'!$K$1</c:f>
            </c:strRef>
          </c:tx>
          <c:spPr>
            <a:ln cmpd="sng">
              <a:solidFill>
                <a:srgbClr val="71C287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Data'!$K$2:$K$21</c:f>
              <c:numCache/>
            </c:numRef>
          </c:val>
          <c:smooth val="0"/>
        </c:ser>
        <c:ser>
          <c:idx val="10"/>
          <c:order val="10"/>
          <c:tx>
            <c:strRef>
              <c:f>'Transposed Data'!$L$1</c:f>
            </c:strRef>
          </c:tx>
          <c:spPr>
            <a:ln cmpd="sng">
              <a:solidFill>
                <a:srgbClr val="FF994D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Data'!$L$2:$L$21</c:f>
              <c:numCache/>
            </c:numRef>
          </c:val>
          <c:smooth val="0"/>
        </c:ser>
        <c:ser>
          <c:idx val="11"/>
          <c:order val="11"/>
          <c:tx>
            <c:strRef>
              <c:f>'Transposed Data'!$M$1</c:f>
            </c:strRef>
          </c:tx>
          <c:spPr>
            <a:ln cmpd="sng">
              <a:solidFill>
                <a:srgbClr val="7ED1D7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Data'!$M$2:$M$21</c:f>
              <c:numCache/>
            </c:numRef>
          </c:val>
          <c:smooth val="0"/>
        </c:ser>
        <c:ser>
          <c:idx val="12"/>
          <c:order val="12"/>
          <c:tx>
            <c:strRef>
              <c:f>'Transposed Data'!$N$1</c:f>
            </c:strRef>
          </c:tx>
          <c:spPr>
            <a:ln cmpd="sng">
              <a:solidFill>
                <a:srgbClr val="B3CEFB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Data'!$N$2:$N$21</c:f>
              <c:numCache/>
            </c:numRef>
          </c:val>
          <c:smooth val="0"/>
        </c:ser>
        <c:ser>
          <c:idx val="13"/>
          <c:order val="13"/>
          <c:tx>
            <c:strRef>
              <c:f>'Transposed Data'!$O$1</c:f>
            </c:strRef>
          </c:tx>
          <c:spPr>
            <a:ln cmpd="sng">
              <a:solidFill>
                <a:srgbClr val="F7B4AE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Data'!$O$2:$O$21</c:f>
              <c:numCache/>
            </c:numRef>
          </c:val>
          <c:smooth val="0"/>
        </c:ser>
        <c:ser>
          <c:idx val="14"/>
          <c:order val="14"/>
          <c:tx>
            <c:strRef>
              <c:f>'Transposed Data'!$P$1</c:f>
            </c:strRef>
          </c:tx>
          <c:spPr>
            <a:ln cmpd="sng">
              <a:solidFill>
                <a:srgbClr val="FDE49B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Data'!$P$2:$P$21</c:f>
              <c:numCache/>
            </c:numRef>
          </c:val>
          <c:smooth val="0"/>
        </c:ser>
        <c:ser>
          <c:idx val="15"/>
          <c:order val="15"/>
          <c:tx>
            <c:strRef>
              <c:f>'Transposed Data'!$Q$1</c:f>
            </c:strRef>
          </c:tx>
          <c:spPr>
            <a:ln cmpd="sng">
              <a:solidFill>
                <a:srgbClr val="AEDCBA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Data'!$Q$2:$Q$21</c:f>
              <c:numCache/>
            </c:numRef>
          </c:val>
          <c:smooth val="0"/>
        </c:ser>
        <c:ser>
          <c:idx val="16"/>
          <c:order val="16"/>
          <c:tx>
            <c:strRef>
              <c:f>'Transposed Data'!$R$1</c:f>
            </c:strRef>
          </c:tx>
          <c:spPr>
            <a:ln cmpd="sng">
              <a:solidFill>
                <a:srgbClr val="FFC599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Data'!$R$2:$R$21</c:f>
              <c:numCache/>
            </c:numRef>
          </c:val>
          <c:smooth val="0"/>
        </c:ser>
        <c:ser>
          <c:idx val="17"/>
          <c:order val="17"/>
          <c:tx>
            <c:strRef>
              <c:f>'Transposed Data'!$S$1</c:f>
            </c:strRef>
          </c:tx>
          <c:spPr>
            <a:ln cmpd="sng">
              <a:solidFill>
                <a:srgbClr val="B5E5E8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Data'!$S$2:$S$21</c:f>
              <c:numCache/>
            </c:numRef>
          </c:val>
          <c:smooth val="0"/>
        </c:ser>
        <c:ser>
          <c:idx val="18"/>
          <c:order val="18"/>
          <c:tx>
            <c:strRef>
              <c:f>'Transposed Data'!$T$1</c:f>
            </c:strRef>
          </c:tx>
          <c:spPr>
            <a:ln cmpd="sng">
              <a:solidFill>
                <a:srgbClr val="ECF3FE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Data'!$T$2:$T$21</c:f>
              <c:numCache/>
            </c:numRef>
          </c:val>
          <c:smooth val="0"/>
        </c:ser>
        <c:ser>
          <c:idx val="19"/>
          <c:order val="19"/>
          <c:tx>
            <c:strRef>
              <c:f>'Transposed Data'!$U$1</c:f>
            </c:strRef>
          </c:tx>
          <c:spPr>
            <a:ln cmpd="sng">
              <a:solidFill>
                <a:srgbClr val="FDECEB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Data'!$U$2:$U$21</c:f>
              <c:numCache/>
            </c:numRef>
          </c:val>
          <c:smooth val="0"/>
        </c:ser>
        <c:ser>
          <c:idx val="20"/>
          <c:order val="20"/>
          <c:tx>
            <c:strRef>
              <c:f>'Transposed Data'!$V$1</c:f>
            </c:strRef>
          </c:tx>
          <c:spPr>
            <a:ln cmpd="sng">
              <a:solidFill>
                <a:srgbClr val="FFF8E6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Data'!$V$2:$V$21</c:f>
              <c:numCache/>
            </c:numRef>
          </c:val>
          <c:smooth val="0"/>
        </c:ser>
        <c:ser>
          <c:idx val="21"/>
          <c:order val="21"/>
          <c:tx>
            <c:strRef>
              <c:f>'Transposed Data'!$W$1</c:f>
            </c:strRef>
          </c:tx>
          <c:spPr>
            <a:ln cmpd="sng">
              <a:solidFill>
                <a:srgbClr val="EBF6EE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Data'!$W$2:$W$21</c:f>
              <c:numCache/>
            </c:numRef>
          </c:val>
          <c:smooth val="0"/>
        </c:ser>
        <c:ser>
          <c:idx val="22"/>
          <c:order val="22"/>
          <c:tx>
            <c:strRef>
              <c:f>'Transposed Data'!$X$1</c:f>
            </c:strRef>
          </c:tx>
          <c:spPr>
            <a:ln cmpd="sng">
              <a:solidFill>
                <a:srgbClr val="FFF0E6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Data'!$X$2:$X$21</c:f>
              <c:numCache/>
            </c:numRef>
          </c:val>
          <c:smooth val="0"/>
        </c:ser>
        <c:ser>
          <c:idx val="23"/>
          <c:order val="23"/>
          <c:tx>
            <c:strRef>
              <c:f>'Transposed Data'!$Y$1</c:f>
            </c:strRef>
          </c:tx>
          <c:spPr>
            <a:ln cmpd="sng">
              <a:solidFill>
                <a:srgbClr val="EDF8F9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Data'!$Y$2:$Y$21</c:f>
              <c:numCache/>
            </c:numRef>
          </c:val>
          <c:smooth val="0"/>
        </c:ser>
        <c:ser>
          <c:idx val="24"/>
          <c:order val="24"/>
          <c:tx>
            <c:strRef>
              <c:f>'Transposed Data'!$Z$1</c:f>
            </c:strRef>
          </c:tx>
          <c:spPr>
            <a:ln cmpd="sng">
              <a:solidFill>
                <a:srgbClr val="251701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Data'!$Z$2:$Z$21</c:f>
              <c:numCache/>
            </c:numRef>
          </c:val>
          <c:smooth val="0"/>
        </c:ser>
        <c:ser>
          <c:idx val="25"/>
          <c:order val="25"/>
          <c:tx>
            <c:strRef>
              <c:f>'Transposed Data'!$AA$1</c:f>
            </c:strRef>
          </c:tx>
          <c:spPr>
            <a:ln cmpd="sng">
              <a:solidFill>
                <a:srgbClr val="032527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Data'!$AA$2:$AA$21</c:f>
              <c:numCache/>
            </c:numRef>
          </c:val>
          <c:smooth val="0"/>
        </c:ser>
        <c:ser>
          <c:idx val="26"/>
          <c:order val="26"/>
          <c:tx>
            <c:strRef>
              <c:f>'Transposed Data'!$AB$1</c:f>
            </c:strRef>
          </c:tx>
          <c:spPr>
            <a:ln cmpd="sng">
              <a:solidFill>
                <a:srgbClr val="000C31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Data'!$AB$2:$AB$21</c:f>
              <c:numCache/>
            </c:numRef>
          </c:val>
          <c:smooth val="0"/>
        </c:ser>
        <c:ser>
          <c:idx val="27"/>
          <c:order val="27"/>
          <c:tx>
            <c:strRef>
              <c:f>'Transposed Data'!$AC$1</c:f>
            </c:strRef>
          </c:tx>
          <c:spPr>
            <a:ln cmpd="sng">
              <a:solidFill>
                <a:srgbClr val="281021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Data'!$AC$2:$AC$21</c:f>
              <c:numCache/>
            </c:numRef>
          </c:val>
          <c:smooth val="0"/>
        </c:ser>
        <c:ser>
          <c:idx val="28"/>
          <c:order val="28"/>
          <c:tx>
            <c:strRef>
              <c:f>'Transposed Data'!$AD$1</c:f>
            </c:strRef>
          </c:tx>
          <c:spPr>
            <a:ln cmpd="sng">
              <a:solidFill>
                <a:srgbClr val="FF1C32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Data'!$AD$2:$AD$21</c:f>
              <c:numCache/>
            </c:numRef>
          </c:val>
          <c:smooth val="0"/>
        </c:ser>
        <c:ser>
          <c:idx val="29"/>
          <c:order val="29"/>
          <c:tx>
            <c:strRef>
              <c:f>'Transposed Data'!$AE$1</c:f>
            </c:strRef>
          </c:tx>
          <c:spPr>
            <a:ln cmpd="sng">
              <a:solidFill>
                <a:srgbClr val="240C0A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Data'!$AE$2:$AE$21</c:f>
              <c:numCache/>
            </c:numRef>
          </c:val>
          <c:smooth val="0"/>
        </c:ser>
        <c:ser>
          <c:idx val="30"/>
          <c:order val="30"/>
          <c:tx>
            <c:strRef>
              <c:f>'Transposed Data'!$AF$1</c:f>
            </c:strRef>
          </c:tx>
          <c:spPr>
            <a:ln cmpd="sng">
              <a:solidFill>
                <a:srgbClr val="5E3C05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Data'!$AF$2:$AF$21</c:f>
              <c:numCache/>
            </c:numRef>
          </c:val>
          <c:smooth val="0"/>
        </c:ser>
        <c:ser>
          <c:idx val="31"/>
          <c:order val="31"/>
          <c:tx>
            <c:strRef>
              <c:f>'Transposed Data'!$AG$1</c:f>
            </c:strRef>
          </c:tx>
          <c:spPr>
            <a:ln cmpd="sng">
              <a:solidFill>
                <a:srgbClr val="0A5D64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Data'!$AG$2:$AG$21</c:f>
              <c:numCache/>
            </c:numRef>
          </c:val>
          <c:smooth val="0"/>
        </c:ser>
        <c:ser>
          <c:idx val="32"/>
          <c:order val="32"/>
          <c:tx>
            <c:strRef>
              <c:f>'Transposed Data'!$AH$1</c:f>
            </c:strRef>
          </c:tx>
          <c:spPr>
            <a:ln cmpd="sng">
              <a:solidFill>
                <a:srgbClr val="01217D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Data'!$AH$2:$AH$21</c:f>
              <c:numCache/>
            </c:numRef>
          </c:val>
          <c:smooth val="0"/>
        </c:ser>
        <c:ser>
          <c:idx val="33"/>
          <c:order val="33"/>
          <c:tx>
            <c:strRef>
              <c:f>'Transposed Data'!$AI$1</c:f>
            </c:strRef>
          </c:tx>
          <c:spPr>
            <a:ln cmpd="sng">
              <a:solidFill>
                <a:srgbClr val="652B55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Data'!$AI$2:$AI$21</c:f>
              <c:numCache/>
            </c:numRef>
          </c:val>
          <c:smooth val="0"/>
        </c:ser>
        <c:ser>
          <c:idx val="34"/>
          <c:order val="34"/>
          <c:tx>
            <c:strRef>
              <c:f>'Transposed Data'!$AJ$1</c:f>
            </c:strRef>
          </c:tx>
          <c:spPr>
            <a:ln cmpd="sng">
              <a:solidFill>
                <a:srgbClr val="FF487E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Data'!$AJ$2:$AJ$21</c:f>
              <c:numCache/>
            </c:numRef>
          </c:val>
          <c:smooth val="0"/>
        </c:ser>
        <c:ser>
          <c:idx val="35"/>
          <c:order val="35"/>
          <c:tx>
            <c:strRef>
              <c:f>'Transposed Data'!$AK$1</c:f>
            </c:strRef>
          </c:tx>
          <c:spPr>
            <a:ln cmpd="sng">
              <a:solidFill>
                <a:srgbClr val="5C201C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Data'!$AK$2:$AK$21</c:f>
              <c:numCache/>
            </c:numRef>
          </c:val>
          <c:smooth val="0"/>
        </c:ser>
        <c:ser>
          <c:idx val="36"/>
          <c:order val="36"/>
          <c:tx>
            <c:strRef>
              <c:f>'Transposed Data'!$AL$1</c:f>
            </c:strRef>
          </c:tx>
          <c:spPr>
            <a:ln cmpd="sng">
              <a:solidFill>
                <a:srgbClr val="966108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Data'!$AL$2:$AL$21</c:f>
              <c:numCache/>
            </c:numRef>
          </c:val>
          <c:smooth val="0"/>
        </c:ser>
        <c:ser>
          <c:idx val="37"/>
          <c:order val="37"/>
          <c:tx>
            <c:strRef>
              <c:f>'Transposed Data'!$AM$1</c:f>
            </c:strRef>
          </c:tx>
          <c:spPr>
            <a:ln cmpd="sng">
              <a:solidFill>
                <a:srgbClr val="1095A1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Data'!$AM$2:$AM$21</c:f>
              <c:numCache/>
            </c:numRef>
          </c:val>
          <c:smooth val="0"/>
        </c:ser>
        <c:ser>
          <c:idx val="38"/>
          <c:order val="38"/>
          <c:tx>
            <c:strRef>
              <c:f>'Transposed Data'!$AN$1</c:f>
            </c:strRef>
          </c:tx>
          <c:spPr>
            <a:ln cmpd="sng">
              <a:solidFill>
                <a:srgbClr val="0235C8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Data'!$AN$2:$AN$21</c:f>
              <c:numCache/>
            </c:numRef>
          </c:val>
          <c:smooth val="0"/>
        </c:ser>
        <c:ser>
          <c:idx val="39"/>
          <c:order val="39"/>
          <c:tx>
            <c:strRef>
              <c:f>'Transposed Data'!$AO$1</c:f>
            </c:strRef>
          </c:tx>
          <c:spPr>
            <a:ln cmpd="sng">
              <a:solidFill>
                <a:srgbClr val="A14589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Data'!$AO$2:$AO$21</c:f>
              <c:numCache/>
            </c:numRef>
          </c:val>
          <c:smooth val="0"/>
        </c:ser>
        <c:ser>
          <c:idx val="40"/>
          <c:order val="40"/>
          <c:tx>
            <c:strRef>
              <c:f>'Transposed Data'!$AP$1</c:f>
            </c:strRef>
          </c:tx>
          <c:spPr>
            <a:ln cmpd="sng">
              <a:solidFill>
                <a:srgbClr val="FF74CA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Data'!$AP$2:$AP$21</c:f>
              <c:numCache/>
            </c:numRef>
          </c:val>
          <c:smooth val="0"/>
        </c:ser>
        <c:ser>
          <c:idx val="41"/>
          <c:order val="41"/>
          <c:tx>
            <c:strRef>
              <c:f>'Transposed Data'!$AQ$1</c:f>
            </c:strRef>
          </c:tx>
          <c:spPr>
            <a:ln cmpd="sng">
              <a:solidFill>
                <a:srgbClr val="93342D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Data'!$AQ$2:$AQ$21</c:f>
              <c:numCache/>
            </c:numRef>
          </c:val>
          <c:smooth val="0"/>
        </c:ser>
        <c:ser>
          <c:idx val="42"/>
          <c:order val="42"/>
          <c:tx>
            <c:strRef>
              <c:f>'Transposed Data'!$AR$1</c:f>
            </c:strRef>
          </c:tx>
          <c:spPr>
            <a:ln cmpd="sng">
              <a:solidFill>
                <a:srgbClr val="CF850B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Data'!$AR$2:$AR$21</c:f>
              <c:numCache/>
            </c:numRef>
          </c:val>
          <c:smooth val="0"/>
        </c:ser>
        <c:ser>
          <c:idx val="43"/>
          <c:order val="43"/>
          <c:tx>
            <c:strRef>
              <c:f>'Transposed Data'!$AS$1</c:f>
            </c:strRef>
          </c:tx>
          <c:spPr>
            <a:ln cmpd="sng">
              <a:solidFill>
                <a:srgbClr val="16CEDD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Data'!$AS$2:$AS$21</c:f>
              <c:numCache/>
            </c:numRef>
          </c:val>
          <c:smooth val="0"/>
        </c:ser>
        <c:ser>
          <c:idx val="44"/>
          <c:order val="44"/>
          <c:tx>
            <c:strRef>
              <c:f>'Transposed Data'!$AT$1</c:f>
            </c:strRef>
          </c:tx>
          <c:spPr>
            <a:ln cmpd="sng">
              <a:solidFill>
                <a:srgbClr val="034913"/>
              </a:solidFill>
            </a:ln>
          </c:spPr>
          <c:marker>
            <c:symbol val="none"/>
          </c:marker>
          <c:cat>
            <c:strRef>
              <c:f>'Transposed Data'!$A$2:$A$21</c:f>
            </c:strRef>
          </c:cat>
          <c:val>
            <c:numRef>
              <c:f>'Transposed Data'!$AT$2:$AT$21</c:f>
              <c:numCache/>
            </c:numRef>
          </c:val>
          <c:smooth val="0"/>
        </c:ser>
        <c:axId val="36311248"/>
        <c:axId val="897365767"/>
      </c:lineChart>
      <c:catAx>
        <c:axId val="36311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7365767"/>
      </c:catAx>
      <c:valAx>
        <c:axId val="8973657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3112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Pay lost to inflation since 2020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'Missing Pay'!$A$1:$A$5</c:f>
            </c:strRef>
          </c:cat>
          <c:val>
            <c:numRef>
              <c:f>'Missing Pay'!$B$1:$B$5</c:f>
              <c:numCache/>
            </c:numRef>
          </c:val>
          <c:smooth val="0"/>
        </c:ser>
        <c:axId val="613689422"/>
        <c:axId val="288142527"/>
      </c:lineChart>
      <c:catAx>
        <c:axId val="6136894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8142527"/>
      </c:catAx>
      <c:valAx>
        <c:axId val="2881425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36894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EL1.5 Monthly Pay and Pay with Inflation (SLCI)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'Inflation Tables'!$P$1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'Inflation Tables'!$A$2:$A$1001</c:f>
            </c:strRef>
          </c:cat>
          <c:val>
            <c:numRef>
              <c:f>'Inflation Tables'!$P$2:$P$1001</c:f>
              <c:numCache/>
            </c:numRef>
          </c:val>
          <c:smooth val="0"/>
        </c:ser>
        <c:ser>
          <c:idx val="1"/>
          <c:order val="1"/>
          <c:tx>
            <c:strRef>
              <c:f>'Inflation Tables'!$Q$1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'Inflation Tables'!$A$2:$A$1001</c:f>
            </c:strRef>
          </c:cat>
          <c:val>
            <c:numRef>
              <c:f>'Inflation Tables'!$Q$2:$Q$1001</c:f>
              <c:numCache/>
            </c:numRef>
          </c:val>
          <c:smooth val="0"/>
        </c:ser>
        <c:axId val="544006679"/>
        <c:axId val="1972685189"/>
      </c:lineChart>
      <c:catAx>
        <c:axId val="5440066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Pay 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2685189"/>
      </c:catAx>
      <c:valAx>
        <c:axId val="1972685189"/>
        <c:scaling>
          <c:orientation val="minMax"/>
          <c:min val="9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40066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APS4.4 Monthly Pay and Pay with Inflation (SLCI)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'Inflation Tables'!$D$1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'Inflation Tables'!$A$2:$A$1001</c:f>
            </c:strRef>
          </c:cat>
          <c:val>
            <c:numRef>
              <c:f>'Inflation Tables'!$D$2:$D$1001</c:f>
              <c:numCache/>
            </c:numRef>
          </c:val>
          <c:smooth val="0"/>
        </c:ser>
        <c:ser>
          <c:idx val="1"/>
          <c:order val="1"/>
          <c:tx>
            <c:strRef>
              <c:f>'Inflation Tables'!$E$1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'Inflation Tables'!$A$2:$A$1001</c:f>
            </c:strRef>
          </c:cat>
          <c:val>
            <c:numRef>
              <c:f>'Inflation Tables'!$E$2:$E$1001</c:f>
              <c:numCache/>
            </c:numRef>
          </c:val>
          <c:smooth val="0"/>
        </c:ser>
        <c:axId val="1852309252"/>
        <c:axId val="1962127451"/>
      </c:lineChart>
      <c:catAx>
        <c:axId val="18523092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Pay 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2127451"/>
      </c:catAx>
      <c:valAx>
        <c:axId val="1962127451"/>
        <c:scaling>
          <c:orientation val="minMax"/>
          <c:min val="58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23092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APS5.4 Monthly Pay and Pay with Inflation (SLCI)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'Inflation Tables'!$H$1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'Inflation Tables'!$A$2:$A$1001</c:f>
            </c:strRef>
          </c:cat>
          <c:val>
            <c:numRef>
              <c:f>'Inflation Tables'!$H$2:$H$1001</c:f>
              <c:numCache/>
            </c:numRef>
          </c:val>
          <c:smooth val="0"/>
        </c:ser>
        <c:ser>
          <c:idx val="1"/>
          <c:order val="1"/>
          <c:tx>
            <c:strRef>
              <c:f>'Inflation Tables'!$I$1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'Inflation Tables'!$A$2:$A$1001</c:f>
            </c:strRef>
          </c:cat>
          <c:val>
            <c:numRef>
              <c:f>'Inflation Tables'!$I$2:$I$1001</c:f>
              <c:numCache/>
            </c:numRef>
          </c:val>
          <c:smooth val="0"/>
        </c:ser>
        <c:axId val="1162952212"/>
        <c:axId val="1022734370"/>
      </c:lineChart>
      <c:catAx>
        <c:axId val="11629522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Pay 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2734370"/>
      </c:catAx>
      <c:valAx>
        <c:axId val="1022734370"/>
        <c:scaling>
          <c:orientation val="minMax"/>
          <c:min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Monthly Pay ($)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2952212"/>
      </c:valAx>
      <c:lineChart>
        <c:varyColors val="0"/>
        <c:ser>
          <c:idx val="2"/>
          <c:order val="2"/>
          <c:tx>
            <c:v>SLCI (right axis)</c:v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'Inflation Tables'!$A$2:$A$1001</c:f>
            </c:strRef>
          </c:cat>
          <c:val>
            <c:numRef>
              <c:f>'Inflation Tables'!$B$4:$B$88</c:f>
              <c:numCache/>
            </c:numRef>
          </c:val>
          <c:smooth val="0"/>
        </c:ser>
        <c:axId val="902813708"/>
        <c:axId val="900314816"/>
      </c:lineChart>
      <c:catAx>
        <c:axId val="90281370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0314816"/>
      </c:catAx>
      <c:valAx>
        <c:axId val="900314816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SLCI Monthly Movement (%)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2813708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APS6.5 Monthly Pay and Pay with Inflation (SLCI)</a:t>
            </a:r>
          </a:p>
        </c:rich>
      </c:tx>
      <c:layout>
        <c:manualLayout>
          <c:xMode val="edge"/>
          <c:yMode val="edge"/>
          <c:x val="0.03258333333333333"/>
          <c:y val="0.05"/>
        </c:manualLayout>
      </c:layout>
      <c:overlay val="0"/>
    </c:title>
    <c:plotArea>
      <c:layout/>
      <c:lineChart>
        <c:ser>
          <c:idx val="0"/>
          <c:order val="0"/>
          <c:tx>
            <c:strRef>
              <c:f>'Inflation Tables'!$L$1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'Inflation Tables'!$A$2:$A$1001</c:f>
            </c:strRef>
          </c:cat>
          <c:val>
            <c:numRef>
              <c:f>'Inflation Tables'!$L$2:$L$1001</c:f>
              <c:numCache/>
            </c:numRef>
          </c:val>
          <c:smooth val="0"/>
        </c:ser>
        <c:ser>
          <c:idx val="1"/>
          <c:order val="1"/>
          <c:tx>
            <c:strRef>
              <c:f>'Inflation Tables'!$M$1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'Inflation Tables'!$A$2:$A$1001</c:f>
            </c:strRef>
          </c:cat>
          <c:val>
            <c:numRef>
              <c:f>'Inflation Tables'!$M$2:$M$1001</c:f>
              <c:numCache/>
            </c:numRef>
          </c:val>
          <c:smooth val="0"/>
        </c:ser>
        <c:axId val="784539941"/>
        <c:axId val="1815610102"/>
      </c:lineChart>
      <c:catAx>
        <c:axId val="7845399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Pay 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5610102"/>
      </c:catAx>
      <c:valAx>
        <c:axId val="1815610102"/>
        <c:scaling>
          <c:orientation val="minMax"/>
          <c:min val="8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45399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EL2.6 Monthly Pay and Pay with Inflation (SLCI)</a:t>
            </a:r>
          </a:p>
        </c:rich>
      </c:tx>
      <c:layout>
        <c:manualLayout>
          <c:xMode val="edge"/>
          <c:yMode val="edge"/>
          <c:x val="0.03091666666666667"/>
          <c:y val="0.052695417789757414"/>
        </c:manualLayout>
      </c:layout>
      <c:overlay val="0"/>
    </c:title>
    <c:plotArea>
      <c:layout/>
      <c:lineChart>
        <c:ser>
          <c:idx val="0"/>
          <c:order val="0"/>
          <c:tx>
            <c:strRef>
              <c:f>'Inflation Tables'!$T$1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'Inflation Tables'!$A$2:$A$1001</c:f>
            </c:strRef>
          </c:cat>
          <c:val>
            <c:numRef>
              <c:f>'Inflation Tables'!$T$2:$T$1001</c:f>
              <c:numCache/>
            </c:numRef>
          </c:val>
          <c:smooth val="0"/>
        </c:ser>
        <c:ser>
          <c:idx val="1"/>
          <c:order val="1"/>
          <c:tx>
            <c:strRef>
              <c:f>'Inflation Tables'!$U$1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'Inflation Tables'!$A$2:$A$1001</c:f>
            </c:strRef>
          </c:cat>
          <c:val>
            <c:numRef>
              <c:f>'Inflation Tables'!$U$2:$U$1001</c:f>
              <c:numCache/>
            </c:numRef>
          </c:val>
          <c:smooth val="0"/>
        </c:ser>
        <c:axId val="1465815055"/>
        <c:axId val="1362416459"/>
      </c:lineChart>
      <c:catAx>
        <c:axId val="14658150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Pay 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2416459"/>
      </c:catAx>
      <c:valAx>
        <c:axId val="1362416459"/>
        <c:scaling>
          <c:orientation val="minMax"/>
          <c:min val="1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58150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chartsheets/sheet1.xml><?xml version="1.0" encoding="utf-8"?>
<chart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drawing r:id="rId1"/>
</chartsheet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Relationship Id="rId4" Type="http://schemas.openxmlformats.org/officeDocument/2006/relationships/chart" Target="../charts/chart5.xml"/><Relationship Id="rId5" Type="http://schemas.openxmlformats.org/officeDocument/2006/relationships/chart" Target="../charts/chart6.xml"/><Relationship Id="rId6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absoluteAnchor>
    <xdr:pos x="0" y="0"/>
    <xdr:ext cx="8610600" cy="62769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absolute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76200</xdr:colOff>
      <xdr:row>5</xdr:row>
      <xdr:rowOff>104775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485775</xdr:colOff>
      <xdr:row>15</xdr:row>
      <xdr:rowOff>190500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4</xdr:col>
      <xdr:colOff>552450</xdr:colOff>
      <xdr:row>0</xdr:row>
      <xdr:rowOff>0</xdr:rowOff>
    </xdr:from>
    <xdr:ext cx="5715000" cy="353377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10</xdr:col>
      <xdr:colOff>685800</xdr:colOff>
      <xdr:row>0</xdr:row>
      <xdr:rowOff>0</xdr:rowOff>
    </xdr:from>
    <xdr:ext cx="5715000" cy="35337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0</xdr:col>
      <xdr:colOff>0</xdr:colOff>
      <xdr:row>21</xdr:row>
      <xdr:rowOff>95250</xdr:rowOff>
    </xdr:from>
    <xdr:ext cx="5715000" cy="353377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11</xdr:col>
      <xdr:colOff>228600</xdr:colOff>
      <xdr:row>18</xdr:row>
      <xdr:rowOff>171450</xdr:rowOff>
    </xdr:from>
    <xdr:ext cx="5715000" cy="353377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B1" s="1">
        <v>38544.0</v>
      </c>
      <c r="C1" s="1">
        <v>38545.0</v>
      </c>
      <c r="D1" s="1">
        <v>38899.0</v>
      </c>
      <c r="E1" s="1">
        <v>39264.0</v>
      </c>
      <c r="F1" s="1">
        <v>39995.0</v>
      </c>
      <c r="G1" s="1">
        <v>40360.0</v>
      </c>
      <c r="H1" s="1">
        <v>40360.0</v>
      </c>
      <c r="I1" s="1">
        <v>40779.0</v>
      </c>
      <c r="J1" s="1">
        <v>41091.0</v>
      </c>
      <c r="K1" s="1">
        <v>41456.0</v>
      </c>
      <c r="L1" s="1">
        <v>42481.0</v>
      </c>
      <c r="M1" s="1">
        <v>42846.0</v>
      </c>
      <c r="N1" s="1">
        <v>43211.0</v>
      </c>
      <c r="O1" s="1">
        <v>43634.0</v>
      </c>
      <c r="P1" s="1">
        <v>44000.0</v>
      </c>
      <c r="Q1" s="1">
        <v>44365.0</v>
      </c>
      <c r="R1" s="1">
        <v>45169.0</v>
      </c>
      <c r="S1" s="1">
        <v>45365.0</v>
      </c>
      <c r="T1" s="1">
        <v>45729.0</v>
      </c>
      <c r="U1" s="1">
        <v>46093.0</v>
      </c>
    </row>
    <row r="2">
      <c r="A2" s="2" t="s">
        <v>0</v>
      </c>
      <c r="B2" s="3">
        <v>28232.0</v>
      </c>
      <c r="C2" s="3">
        <v>29930.0</v>
      </c>
      <c r="D2" s="3">
        <v>31052.0</v>
      </c>
      <c r="E2" s="3">
        <v>32139.0</v>
      </c>
      <c r="F2" s="3">
        <v>33425.0</v>
      </c>
      <c r="G2" s="3">
        <v>34762.0</v>
      </c>
      <c r="H2" s="3">
        <v>34762.0</v>
      </c>
      <c r="I2" s="2">
        <v>35805.0</v>
      </c>
      <c r="J2" s="2">
        <v>36879.0</v>
      </c>
      <c r="K2" s="2">
        <v>37985.0</v>
      </c>
      <c r="L2" s="3">
        <v>38935.0</v>
      </c>
      <c r="M2" s="3">
        <v>39714.0</v>
      </c>
      <c r="N2" s="3">
        <v>40310.0</v>
      </c>
      <c r="O2" s="3">
        <v>41116.0</v>
      </c>
      <c r="P2" s="3">
        <v>41938.0</v>
      </c>
      <c r="Q2" s="3">
        <v>42777.0</v>
      </c>
      <c r="R2" s="3">
        <v>47884.0</v>
      </c>
      <c r="S2" s="3">
        <v>52000.0</v>
      </c>
      <c r="T2" s="3">
        <v>54516.0</v>
      </c>
      <c r="U2" s="3">
        <v>57497.0</v>
      </c>
    </row>
    <row r="3">
      <c r="A3" s="2" t="s">
        <v>1</v>
      </c>
      <c r="B3" s="3">
        <v>30511.0</v>
      </c>
      <c r="C3" s="3">
        <v>32175.0</v>
      </c>
      <c r="D3" s="3">
        <v>33382.0</v>
      </c>
      <c r="E3" s="3">
        <v>34550.0</v>
      </c>
      <c r="F3" s="3">
        <v>35932.0</v>
      </c>
      <c r="G3" s="3">
        <v>37369.0</v>
      </c>
      <c r="H3" s="3">
        <v>37713.0</v>
      </c>
      <c r="I3" s="2">
        <v>38844.0</v>
      </c>
      <c r="J3" s="2">
        <v>40010.0</v>
      </c>
      <c r="K3" s="2">
        <v>41210.0</v>
      </c>
      <c r="L3" s="3">
        <v>40546.0</v>
      </c>
      <c r="M3" s="3">
        <v>41357.0</v>
      </c>
      <c r="N3" s="3">
        <v>41977.0</v>
      </c>
      <c r="O3" s="3">
        <v>42817.0</v>
      </c>
      <c r="P3" s="3">
        <v>43673.0</v>
      </c>
      <c r="Q3" s="3">
        <v>44546.0</v>
      </c>
      <c r="S3" s="3">
        <v>53560.0</v>
      </c>
      <c r="T3" s="3">
        <v>56131.0</v>
      </c>
      <c r="U3" s="3">
        <v>59221.0</v>
      </c>
    </row>
    <row r="4">
      <c r="A4" s="3" t="s">
        <v>2</v>
      </c>
      <c r="B4" s="3">
        <v>33230.0</v>
      </c>
      <c r="C4" s="4"/>
      <c r="D4" s="4"/>
      <c r="E4" s="4"/>
      <c r="F4" s="4"/>
      <c r="G4" s="4"/>
      <c r="H4" s="4"/>
      <c r="L4" s="3">
        <v>42240.0</v>
      </c>
      <c r="M4" s="3">
        <v>43085.0</v>
      </c>
      <c r="N4" s="3">
        <v>43731.0</v>
      </c>
      <c r="O4" s="3">
        <v>44606.0</v>
      </c>
      <c r="P4" s="3">
        <v>45498.0</v>
      </c>
      <c r="Q4" s="3">
        <v>46408.0</v>
      </c>
      <c r="S4" s="3">
        <v>55120.0</v>
      </c>
      <c r="T4" s="3">
        <v>57786.0</v>
      </c>
      <c r="U4" s="3">
        <v>60946.0</v>
      </c>
    </row>
    <row r="5">
      <c r="A5" s="2" t="s">
        <v>3</v>
      </c>
      <c r="B5" s="3">
        <v>35538.0</v>
      </c>
      <c r="C5" s="3">
        <v>34588.0</v>
      </c>
      <c r="D5" s="3">
        <v>35885.0</v>
      </c>
      <c r="E5" s="3">
        <v>37141.0</v>
      </c>
      <c r="F5" s="3">
        <v>38627.0</v>
      </c>
      <c r="G5" s="3">
        <v>40172.0</v>
      </c>
      <c r="H5" s="3">
        <v>40664.0</v>
      </c>
      <c r="I5" s="2">
        <v>44393.0</v>
      </c>
      <c r="J5" s="2">
        <v>45725.0</v>
      </c>
      <c r="K5" s="2">
        <v>47097.0</v>
      </c>
      <c r="L5" s="3">
        <v>48274.0</v>
      </c>
      <c r="M5" s="3">
        <v>49239.0</v>
      </c>
      <c r="N5" s="3">
        <v>49978.0</v>
      </c>
      <c r="O5" s="3">
        <v>50978.0</v>
      </c>
      <c r="P5" s="3">
        <v>51998.0</v>
      </c>
      <c r="Q5" s="3">
        <v>53038.0</v>
      </c>
      <c r="R5" s="3">
        <v>54629.0</v>
      </c>
      <c r="S5" s="3">
        <v>56814.0</v>
      </c>
      <c r="T5" s="3">
        <v>59520.0</v>
      </c>
      <c r="U5" s="3">
        <v>62775.0</v>
      </c>
    </row>
    <row r="6">
      <c r="A6" s="3" t="s">
        <v>4</v>
      </c>
      <c r="B6" s="3">
        <v>38506.0</v>
      </c>
      <c r="C6" s="3">
        <v>37182.0</v>
      </c>
      <c r="D6" s="3">
        <v>38576.0</v>
      </c>
      <c r="E6" s="3">
        <v>39926.0</v>
      </c>
      <c r="F6" s="3">
        <v>41523.0</v>
      </c>
      <c r="G6" s="3">
        <v>43184.0</v>
      </c>
      <c r="H6" s="3">
        <v>43616.0</v>
      </c>
      <c r="I6" s="2">
        <v>47436.0</v>
      </c>
      <c r="J6" s="2">
        <v>48859.0</v>
      </c>
      <c r="K6" s="2">
        <v>50324.0</v>
      </c>
      <c r="L6" s="3">
        <v>49907.0</v>
      </c>
      <c r="M6" s="3">
        <v>50905.0</v>
      </c>
      <c r="N6" s="3">
        <v>51669.0</v>
      </c>
      <c r="O6" s="3">
        <v>52702.0</v>
      </c>
      <c r="P6" s="3">
        <v>53756.0</v>
      </c>
      <c r="Q6" s="3">
        <v>54831.0</v>
      </c>
      <c r="R6" s="3">
        <v>56476.0</v>
      </c>
      <c r="S6" s="3">
        <v>58735.0</v>
      </c>
      <c r="T6" s="3">
        <v>60967.0</v>
      </c>
      <c r="U6" s="3">
        <v>63040.0</v>
      </c>
    </row>
    <row r="7">
      <c r="A7" s="2" t="s">
        <v>5</v>
      </c>
      <c r="B7" s="4"/>
      <c r="C7" s="4"/>
      <c r="D7" s="4"/>
      <c r="E7" s="4"/>
      <c r="F7" s="4"/>
      <c r="G7" s="4"/>
      <c r="H7" s="4"/>
      <c r="L7" s="3">
        <v>51582.0</v>
      </c>
      <c r="M7" s="3">
        <v>52614.0</v>
      </c>
      <c r="N7" s="3">
        <v>53403.0</v>
      </c>
      <c r="O7" s="3">
        <v>54471.0</v>
      </c>
      <c r="P7" s="3">
        <v>55560.0</v>
      </c>
      <c r="Q7" s="3">
        <v>56671.0</v>
      </c>
      <c r="R7" s="3">
        <v>58371.0</v>
      </c>
      <c r="S7" s="3">
        <v>60706.0</v>
      </c>
      <c r="T7" s="3">
        <v>63013.0</v>
      </c>
      <c r="U7" s="3">
        <v>65155.0</v>
      </c>
    </row>
    <row r="8">
      <c r="A8" s="2" t="s">
        <v>6</v>
      </c>
      <c r="B8" s="4"/>
      <c r="C8" s="4"/>
      <c r="D8" s="4"/>
      <c r="E8" s="4"/>
      <c r="F8" s="4"/>
      <c r="G8" s="4"/>
      <c r="H8" s="4"/>
      <c r="S8" s="3">
        <v>61883.0</v>
      </c>
      <c r="T8" s="3">
        <v>64877.0</v>
      </c>
      <c r="U8" s="3">
        <v>67083.0</v>
      </c>
    </row>
    <row r="9">
      <c r="A9" s="2" t="s">
        <v>7</v>
      </c>
      <c r="B9" s="3"/>
      <c r="C9" s="3"/>
      <c r="D9" s="3"/>
      <c r="E9" s="3"/>
      <c r="F9" s="3"/>
      <c r="G9" s="3"/>
      <c r="H9" s="3"/>
      <c r="I9" s="2"/>
      <c r="J9" s="2"/>
      <c r="K9" s="2"/>
      <c r="L9" s="3"/>
      <c r="M9" s="3"/>
      <c r="N9" s="3"/>
      <c r="O9" s="3"/>
      <c r="P9" s="3"/>
      <c r="Q9" s="3"/>
      <c r="S9" s="2"/>
      <c r="T9" s="2"/>
      <c r="U9" s="3">
        <v>68425.0</v>
      </c>
    </row>
    <row r="10">
      <c r="A10" s="2" t="s">
        <v>8</v>
      </c>
      <c r="B10" s="3">
        <v>40852.0</v>
      </c>
      <c r="C10" s="3">
        <v>39970.0</v>
      </c>
      <c r="D10" s="3">
        <v>41469.0</v>
      </c>
      <c r="E10" s="3">
        <v>42920.0</v>
      </c>
      <c r="F10" s="3">
        <v>44637.0</v>
      </c>
      <c r="G10" s="3">
        <v>46422.0</v>
      </c>
      <c r="H10" s="3">
        <v>46422.0</v>
      </c>
      <c r="I10" s="2">
        <v>50573.0</v>
      </c>
      <c r="J10" s="2">
        <v>52090.0</v>
      </c>
      <c r="K10" s="2">
        <v>53652.0</v>
      </c>
      <c r="L10" s="3">
        <v>54994.0</v>
      </c>
      <c r="M10" s="3">
        <v>56094.0</v>
      </c>
      <c r="N10" s="3">
        <v>56935.0</v>
      </c>
      <c r="O10" s="3">
        <v>58074.0</v>
      </c>
      <c r="P10" s="3">
        <v>59235.0</v>
      </c>
      <c r="Q10" s="3">
        <v>60420.0</v>
      </c>
      <c r="R10" s="3">
        <v>62233.0</v>
      </c>
      <c r="S10" s="3">
        <v>64722.0</v>
      </c>
      <c r="T10" s="3">
        <v>67181.0</v>
      </c>
      <c r="U10" s="3">
        <v>70477.0</v>
      </c>
    </row>
    <row r="11">
      <c r="A11" s="2" t="s">
        <v>9</v>
      </c>
      <c r="B11" s="4"/>
      <c r="C11" s="3">
        <v>42968.0</v>
      </c>
      <c r="D11" s="3">
        <v>44579.0</v>
      </c>
      <c r="E11" s="3">
        <v>46140.0</v>
      </c>
      <c r="F11" s="3">
        <v>47986.0</v>
      </c>
      <c r="G11" s="3">
        <v>49905.0</v>
      </c>
      <c r="H11" s="3">
        <v>50364.0</v>
      </c>
      <c r="I11" s="2">
        <v>53766.0</v>
      </c>
      <c r="J11" s="2">
        <v>55379.0</v>
      </c>
      <c r="K11" s="2">
        <v>57040.0</v>
      </c>
      <c r="L11" s="3">
        <v>56703.0</v>
      </c>
      <c r="M11" s="3">
        <v>57837.0</v>
      </c>
      <c r="N11" s="3">
        <v>58705.0</v>
      </c>
      <c r="O11" s="3">
        <v>59879.0</v>
      </c>
      <c r="P11" s="3">
        <v>61077.0</v>
      </c>
      <c r="Q11" s="3">
        <v>62299.0</v>
      </c>
      <c r="R11" s="3">
        <v>64168.0</v>
      </c>
      <c r="S11" s="3">
        <v>66735.0</v>
      </c>
      <c r="T11" s="3">
        <v>69271.0</v>
      </c>
      <c r="U11" s="3">
        <v>71626.0</v>
      </c>
    </row>
    <row r="12">
      <c r="A12" s="3" t="s">
        <v>10</v>
      </c>
      <c r="B12" s="4"/>
      <c r="C12" s="4"/>
      <c r="D12" s="4"/>
      <c r="E12" s="4"/>
      <c r="F12" s="4"/>
      <c r="G12" s="4"/>
      <c r="H12" s="4"/>
      <c r="L12" s="3">
        <v>58466.0</v>
      </c>
      <c r="M12" s="3">
        <v>59635.0</v>
      </c>
      <c r="N12" s="3">
        <v>60530.0</v>
      </c>
      <c r="O12" s="3">
        <v>61741.0</v>
      </c>
      <c r="P12" s="3">
        <v>62976.0</v>
      </c>
      <c r="Q12" s="3">
        <v>64236.0</v>
      </c>
      <c r="R12" s="3">
        <v>66163.0</v>
      </c>
      <c r="S12" s="3">
        <v>68810.0</v>
      </c>
      <c r="T12" s="3">
        <v>71425.0</v>
      </c>
      <c r="U12" s="3">
        <v>73853.0</v>
      </c>
    </row>
    <row r="13">
      <c r="A13" s="3" t="s">
        <v>11</v>
      </c>
      <c r="B13" s="4"/>
      <c r="C13" s="4"/>
      <c r="D13" s="4"/>
      <c r="E13" s="4"/>
      <c r="F13" s="4"/>
      <c r="G13" s="4"/>
      <c r="H13" s="4"/>
      <c r="S13" s="3">
        <v>69476.0</v>
      </c>
      <c r="T13" s="3">
        <v>72837.0</v>
      </c>
      <c r="U13" s="3">
        <v>75313.0</v>
      </c>
    </row>
    <row r="14">
      <c r="A14" s="3" t="s">
        <v>12</v>
      </c>
      <c r="B14" s="4"/>
      <c r="C14" s="4"/>
      <c r="D14" s="4"/>
      <c r="E14" s="4"/>
      <c r="F14" s="4"/>
      <c r="G14" s="4"/>
      <c r="H14" s="4"/>
      <c r="S14" s="2"/>
      <c r="T14" s="2"/>
      <c r="U14" s="3">
        <v>76820.0</v>
      </c>
    </row>
    <row r="15">
      <c r="A15" s="2" t="s">
        <v>13</v>
      </c>
      <c r="B15" s="3">
        <v>43164.0</v>
      </c>
      <c r="C15" s="3">
        <v>46191.0</v>
      </c>
      <c r="D15" s="3">
        <v>47923.0</v>
      </c>
      <c r="E15" s="3">
        <v>49600.0</v>
      </c>
      <c r="F15" s="3">
        <v>51584.0</v>
      </c>
      <c r="G15" s="3">
        <v>53647.0</v>
      </c>
      <c r="H15" s="3">
        <v>54306.0</v>
      </c>
      <c r="I15" s="2">
        <v>56959.0</v>
      </c>
      <c r="J15" s="2">
        <v>58668.0</v>
      </c>
      <c r="K15" s="2">
        <v>60428.0</v>
      </c>
      <c r="L15" s="3">
        <v>61939.0</v>
      </c>
      <c r="M15" s="3">
        <v>63178.0</v>
      </c>
      <c r="N15" s="3">
        <v>64126.0</v>
      </c>
      <c r="O15" s="3">
        <v>65409.0</v>
      </c>
      <c r="P15" s="3">
        <v>66717.0</v>
      </c>
      <c r="Q15" s="3">
        <v>68051.0</v>
      </c>
      <c r="R15" s="3">
        <v>70093.0</v>
      </c>
      <c r="S15" s="3">
        <v>72897.0</v>
      </c>
      <c r="T15" s="3">
        <v>75667.0</v>
      </c>
      <c r="U15" s="3">
        <v>79125.0</v>
      </c>
    </row>
    <row r="16">
      <c r="A16" s="3" t="s">
        <v>14</v>
      </c>
      <c r="B16" s="3">
        <v>46164.0</v>
      </c>
      <c r="C16" s="3">
        <v>49655.0</v>
      </c>
      <c r="D16" s="3">
        <v>51527.0</v>
      </c>
      <c r="E16" s="3">
        <v>53320.0</v>
      </c>
      <c r="F16" s="3">
        <v>55453.0</v>
      </c>
      <c r="G16" s="3">
        <v>57671.0</v>
      </c>
      <c r="H16" s="3">
        <v>58248.0</v>
      </c>
      <c r="I16" s="2">
        <v>59996.0</v>
      </c>
      <c r="J16" s="2">
        <v>61796.0</v>
      </c>
      <c r="K16" s="2">
        <v>63650.0</v>
      </c>
      <c r="L16" s="3">
        <v>63873.0</v>
      </c>
      <c r="M16" s="3">
        <v>65150.0</v>
      </c>
      <c r="N16" s="3">
        <v>66127.0</v>
      </c>
      <c r="O16" s="3">
        <v>67450.0</v>
      </c>
      <c r="P16" s="3">
        <v>68799.0</v>
      </c>
      <c r="Q16" s="3">
        <v>70175.0</v>
      </c>
      <c r="R16" s="3">
        <v>72280.0</v>
      </c>
      <c r="S16" s="3">
        <v>75171.0</v>
      </c>
      <c r="T16" s="3">
        <v>78027.0</v>
      </c>
      <c r="U16" s="3">
        <v>80680.0</v>
      </c>
      <c r="V16" s="2"/>
      <c r="W16" s="2"/>
      <c r="X16" s="2"/>
    </row>
    <row r="17">
      <c r="A17" s="2" t="s">
        <v>15</v>
      </c>
      <c r="B17" s="3">
        <v>46918.0</v>
      </c>
      <c r="C17" s="4"/>
      <c r="D17" s="4"/>
      <c r="E17" s="4"/>
      <c r="F17" s="4"/>
      <c r="G17" s="4"/>
      <c r="H17" s="4"/>
      <c r="I17" s="2">
        <v>62668.0</v>
      </c>
      <c r="J17" s="2">
        <v>64548.0</v>
      </c>
      <c r="K17" s="2">
        <v>66485.0</v>
      </c>
      <c r="L17" s="3">
        <v>65805.0</v>
      </c>
      <c r="M17" s="3">
        <v>67121.0</v>
      </c>
      <c r="N17" s="3">
        <v>68128.0</v>
      </c>
      <c r="O17" s="3">
        <v>69491.0</v>
      </c>
      <c r="P17" s="3">
        <v>70881.0</v>
      </c>
      <c r="Q17" s="3">
        <v>72299.0</v>
      </c>
      <c r="R17" s="3">
        <v>74468.0</v>
      </c>
      <c r="S17" s="3">
        <v>77447.0</v>
      </c>
      <c r="T17" s="3">
        <v>80390.0</v>
      </c>
      <c r="U17" s="3">
        <v>83123.0</v>
      </c>
    </row>
    <row r="18">
      <c r="A18" s="2" t="s">
        <v>16</v>
      </c>
      <c r="B18" s="4"/>
      <c r="C18" s="4"/>
      <c r="D18" s="4"/>
      <c r="E18" s="4"/>
      <c r="F18" s="4"/>
      <c r="G18" s="4"/>
      <c r="H18" s="4"/>
      <c r="L18" s="3">
        <v>68147.0</v>
      </c>
      <c r="M18" s="3">
        <v>69510.0</v>
      </c>
      <c r="N18" s="3">
        <v>70553.0</v>
      </c>
      <c r="O18" s="3">
        <v>71964.0</v>
      </c>
      <c r="P18" s="3">
        <v>73403.0</v>
      </c>
      <c r="Q18" s="3">
        <v>74871.0</v>
      </c>
      <c r="R18" s="3">
        <v>77117.0</v>
      </c>
      <c r="S18" s="3">
        <v>80202.0</v>
      </c>
      <c r="T18" s="3">
        <v>83250.0</v>
      </c>
      <c r="U18" s="3">
        <v>86246.0</v>
      </c>
      <c r="V18" s="2"/>
      <c r="W18" s="2"/>
      <c r="X18" s="2"/>
    </row>
    <row r="19">
      <c r="A19" s="2" t="s">
        <v>17</v>
      </c>
      <c r="B19" s="3">
        <v>48628.0</v>
      </c>
      <c r="C19" s="3">
        <v>52386.0</v>
      </c>
      <c r="D19" s="3">
        <v>54350.0</v>
      </c>
      <c r="E19" s="3">
        <v>56253.0</v>
      </c>
      <c r="F19" s="3">
        <v>58503.0</v>
      </c>
      <c r="G19" s="3">
        <v>60843.0</v>
      </c>
      <c r="H19" s="3">
        <v>60843.0</v>
      </c>
      <c r="I19" s="2">
        <v>63448.0</v>
      </c>
      <c r="J19" s="2">
        <v>65351.0</v>
      </c>
      <c r="K19" s="2">
        <v>67312.0</v>
      </c>
      <c r="L19" s="3">
        <v>68995.0</v>
      </c>
      <c r="M19" s="3">
        <v>70375.0</v>
      </c>
      <c r="N19" s="3">
        <v>71431.0</v>
      </c>
      <c r="O19" s="3">
        <v>72860.0</v>
      </c>
      <c r="P19" s="3">
        <v>74317.0</v>
      </c>
      <c r="Q19" s="3">
        <v>75803.0</v>
      </c>
      <c r="R19" s="3">
        <v>78077.0</v>
      </c>
      <c r="S19" s="3">
        <v>81200.0</v>
      </c>
      <c r="T19" s="3">
        <v>84286.0</v>
      </c>
      <c r="U19" s="3">
        <v>88834.0</v>
      </c>
    </row>
    <row r="20">
      <c r="A20" s="2" t="s">
        <v>18</v>
      </c>
      <c r="B20" s="3">
        <v>49812.0</v>
      </c>
      <c r="C20" s="3">
        <v>52267.0</v>
      </c>
      <c r="D20" s="3">
        <v>57340.0</v>
      </c>
      <c r="E20" s="3">
        <v>59346.0</v>
      </c>
      <c r="F20" s="3">
        <v>61720.0</v>
      </c>
      <c r="G20" s="3">
        <v>64189.0</v>
      </c>
      <c r="H20" s="3">
        <v>65879.0</v>
      </c>
      <c r="I20" s="2">
        <v>66948.0</v>
      </c>
      <c r="J20" s="2">
        <v>68956.0</v>
      </c>
      <c r="K20" s="2">
        <v>71025.0</v>
      </c>
      <c r="L20" s="3">
        <v>70674.0</v>
      </c>
      <c r="M20" s="3">
        <v>72087.0</v>
      </c>
      <c r="N20" s="3">
        <v>73168.0</v>
      </c>
      <c r="O20" s="3">
        <v>74631.0</v>
      </c>
      <c r="P20" s="3">
        <v>76124.0</v>
      </c>
      <c r="Q20" s="3">
        <v>77646.0</v>
      </c>
      <c r="R20" s="3">
        <v>79975.0</v>
      </c>
      <c r="S20" s="3">
        <v>83174.0</v>
      </c>
      <c r="T20" s="3">
        <v>86335.0</v>
      </c>
      <c r="U20" s="3">
        <v>89270.0</v>
      </c>
    </row>
    <row r="21">
      <c r="A21" s="2" t="s">
        <v>19</v>
      </c>
      <c r="B21" s="3">
        <v>50787.0</v>
      </c>
      <c r="C21" s="3">
        <v>58307.0</v>
      </c>
      <c r="D21" s="3">
        <v>60494.0</v>
      </c>
      <c r="E21" s="3">
        <v>62611.0</v>
      </c>
      <c r="F21" s="3">
        <v>65115.0</v>
      </c>
      <c r="G21" s="3">
        <v>67720.0</v>
      </c>
      <c r="H21" s="3">
        <v>68397.0</v>
      </c>
      <c r="I21" s="2">
        <v>70449.0</v>
      </c>
      <c r="J21" s="2">
        <v>72562.0</v>
      </c>
      <c r="K21" s="2">
        <v>74739.0</v>
      </c>
      <c r="L21" s="3">
        <v>73288.0</v>
      </c>
      <c r="M21" s="3">
        <v>74754.0</v>
      </c>
      <c r="N21" s="3">
        <v>75875.0</v>
      </c>
      <c r="O21" s="3">
        <v>77393.0</v>
      </c>
      <c r="P21" s="3">
        <v>78941.0</v>
      </c>
      <c r="Q21" s="3">
        <v>80520.0</v>
      </c>
      <c r="R21" s="3">
        <v>82936.0</v>
      </c>
      <c r="S21" s="3">
        <v>86253.0</v>
      </c>
      <c r="T21" s="3">
        <v>89531.0</v>
      </c>
      <c r="U21" s="3">
        <v>92575.0</v>
      </c>
    </row>
    <row r="22">
      <c r="A22" s="2" t="s">
        <v>20</v>
      </c>
      <c r="B22" s="3">
        <v>52306.0</v>
      </c>
      <c r="C22" s="4"/>
      <c r="D22" s="4"/>
      <c r="E22" s="4"/>
      <c r="F22" s="4"/>
      <c r="G22" s="4"/>
      <c r="H22" s="4"/>
      <c r="L22" s="3">
        <v>76607.0</v>
      </c>
      <c r="M22" s="3">
        <v>78139.0</v>
      </c>
      <c r="N22" s="3">
        <v>79311.0</v>
      </c>
      <c r="O22" s="3">
        <v>80897.0</v>
      </c>
      <c r="P22" s="3">
        <v>82515.0</v>
      </c>
      <c r="Q22" s="3">
        <v>84165.0</v>
      </c>
      <c r="R22" s="3">
        <v>86690.0</v>
      </c>
      <c r="S22" s="3">
        <v>90158.0</v>
      </c>
      <c r="T22" s="3">
        <v>93584.0</v>
      </c>
      <c r="U22" s="3">
        <v>96829.0</v>
      </c>
    </row>
    <row r="23">
      <c r="A23" s="2" t="s">
        <v>21</v>
      </c>
      <c r="B23" s="3">
        <v>53509.0</v>
      </c>
      <c r="C23" s="3">
        <v>58307.0</v>
      </c>
      <c r="D23" s="3">
        <v>60494.0</v>
      </c>
      <c r="E23" s="3">
        <v>62611.0</v>
      </c>
      <c r="F23" s="3">
        <v>65115.0</v>
      </c>
      <c r="G23" s="3">
        <v>67720.0</v>
      </c>
      <c r="H23" s="4"/>
      <c r="I23" s="2">
        <v>73588.0</v>
      </c>
      <c r="J23" s="2">
        <v>75796.0</v>
      </c>
      <c r="K23" s="2">
        <v>78070.0</v>
      </c>
      <c r="L23" s="3">
        <v>80022.0</v>
      </c>
      <c r="M23" s="3">
        <v>81622.0</v>
      </c>
      <c r="N23" s="3">
        <v>82846.0</v>
      </c>
      <c r="O23" s="3">
        <v>84503.0</v>
      </c>
      <c r="P23" s="3">
        <v>86193.0</v>
      </c>
      <c r="Q23" s="3">
        <v>87917.0</v>
      </c>
      <c r="R23" s="3">
        <v>90555.0</v>
      </c>
      <c r="S23" s="3">
        <v>94177.0</v>
      </c>
      <c r="T23" s="3">
        <v>97756.0</v>
      </c>
      <c r="U23" s="3">
        <v>101080.0</v>
      </c>
    </row>
    <row r="24">
      <c r="A24" s="2" t="s">
        <v>22</v>
      </c>
      <c r="B24" s="3">
        <v>56199.0</v>
      </c>
      <c r="C24" s="3">
        <v>61514.0</v>
      </c>
      <c r="D24" s="3">
        <v>63821.0</v>
      </c>
      <c r="E24" s="3">
        <v>66055.0</v>
      </c>
      <c r="F24" s="3">
        <v>68697.0</v>
      </c>
      <c r="G24" s="3">
        <v>71445.0</v>
      </c>
      <c r="H24" s="3">
        <v>71445.0</v>
      </c>
      <c r="I24" s="2">
        <v>76633.0</v>
      </c>
      <c r="J24" s="2">
        <v>78932.0</v>
      </c>
      <c r="K24" s="2">
        <v>81300.0</v>
      </c>
      <c r="L24" s="3">
        <v>83333.0</v>
      </c>
      <c r="M24" s="3">
        <v>85000.0</v>
      </c>
      <c r="N24" s="3">
        <v>86275.0</v>
      </c>
      <c r="O24" s="3">
        <v>88001.0</v>
      </c>
      <c r="P24" s="3">
        <v>89761.0</v>
      </c>
      <c r="Q24" s="3">
        <v>91556.0</v>
      </c>
      <c r="R24" s="3">
        <v>94303.0</v>
      </c>
      <c r="S24" s="3">
        <v>98075.0</v>
      </c>
      <c r="T24" s="3">
        <v>101802.0</v>
      </c>
      <c r="U24" s="3">
        <v>105263.0</v>
      </c>
    </row>
    <row r="25">
      <c r="A25" s="2" t="s">
        <v>23</v>
      </c>
      <c r="B25" s="3">
        <v>58376.0</v>
      </c>
      <c r="C25" s="3">
        <v>64897.0</v>
      </c>
      <c r="D25" s="3">
        <v>67331.0</v>
      </c>
      <c r="E25" s="3">
        <v>69687.0</v>
      </c>
      <c r="F25" s="3">
        <v>72474.0</v>
      </c>
      <c r="G25" s="3">
        <v>75373.0</v>
      </c>
      <c r="H25" s="3">
        <v>77358.0</v>
      </c>
      <c r="I25" s="2">
        <v>80908.0</v>
      </c>
      <c r="J25" s="2">
        <v>83335.0</v>
      </c>
      <c r="K25" s="2">
        <v>85835.0</v>
      </c>
      <c r="L25" s="3">
        <v>86510.0</v>
      </c>
      <c r="M25" s="3">
        <v>88240.0</v>
      </c>
      <c r="N25" s="3">
        <v>89564.0</v>
      </c>
      <c r="O25" s="3">
        <v>91355.0</v>
      </c>
      <c r="P25" s="3">
        <v>93182.0</v>
      </c>
      <c r="Q25" s="3">
        <v>95046.0</v>
      </c>
      <c r="R25" s="3">
        <v>97897.0</v>
      </c>
      <c r="S25" s="3">
        <v>101813.0</v>
      </c>
      <c r="T25" s="3">
        <v>105682.0</v>
      </c>
      <c r="U25" s="3">
        <v>109275.0</v>
      </c>
      <c r="V25" s="2"/>
      <c r="W25" s="2"/>
      <c r="X25" s="2"/>
    </row>
    <row r="26">
      <c r="A26" s="2" t="s">
        <v>24</v>
      </c>
      <c r="B26" s="3">
        <v>60255.0</v>
      </c>
      <c r="C26" s="3">
        <v>68466.0</v>
      </c>
      <c r="D26" s="3">
        <v>71033.0</v>
      </c>
      <c r="E26" s="3">
        <v>73520.0</v>
      </c>
      <c r="F26" s="3">
        <v>76461.0</v>
      </c>
      <c r="G26" s="3">
        <v>79519.0</v>
      </c>
      <c r="H26" s="3">
        <v>80314.0</v>
      </c>
      <c r="I26" s="2">
        <v>85181.0</v>
      </c>
      <c r="J26" s="2">
        <v>87736.0</v>
      </c>
      <c r="K26" s="2">
        <v>90369.0</v>
      </c>
      <c r="L26" s="3">
        <v>89119.0</v>
      </c>
      <c r="M26" s="3">
        <v>90901.0</v>
      </c>
      <c r="N26" s="3">
        <v>92265.0</v>
      </c>
      <c r="O26" s="3">
        <v>94110.0</v>
      </c>
      <c r="P26" s="3">
        <v>95992.0</v>
      </c>
      <c r="Q26" s="3">
        <v>97912.0</v>
      </c>
      <c r="R26" s="3">
        <v>100849.0</v>
      </c>
      <c r="S26" s="3">
        <v>104883.0</v>
      </c>
      <c r="T26" s="3">
        <v>108869.0</v>
      </c>
      <c r="U26" s="3">
        <v>112571.0</v>
      </c>
    </row>
    <row r="27">
      <c r="A27" s="2" t="s">
        <v>25</v>
      </c>
      <c r="B27" s="3">
        <v>62174.0</v>
      </c>
      <c r="C27" s="4"/>
      <c r="D27" s="4"/>
      <c r="E27" s="4"/>
      <c r="F27" s="3"/>
      <c r="G27" s="3"/>
      <c r="H27" s="4"/>
      <c r="L27" s="3">
        <v>92628.0</v>
      </c>
      <c r="M27" s="3">
        <v>94481.0</v>
      </c>
      <c r="N27" s="3">
        <v>95898.0</v>
      </c>
      <c r="O27" s="3">
        <v>97816.0</v>
      </c>
      <c r="P27" s="3">
        <v>99772.0</v>
      </c>
      <c r="Q27" s="3">
        <v>101767.0</v>
      </c>
      <c r="R27" s="3">
        <v>104820.0</v>
      </c>
      <c r="S27" s="3">
        <v>109013.0</v>
      </c>
      <c r="T27" s="3">
        <v>113155.0</v>
      </c>
      <c r="U27" s="3">
        <v>117002.0</v>
      </c>
      <c r="V27" s="2"/>
      <c r="W27" s="2"/>
      <c r="X27" s="2"/>
    </row>
    <row r="28">
      <c r="A28" s="2" t="s">
        <v>26</v>
      </c>
      <c r="B28" s="3">
        <v>65111.0</v>
      </c>
      <c r="C28" s="3">
        <v>68466.0</v>
      </c>
      <c r="D28" s="3">
        <v>71033.0</v>
      </c>
      <c r="E28" s="3">
        <v>76461.0</v>
      </c>
      <c r="F28" s="3">
        <v>79519.0</v>
      </c>
      <c r="G28" s="3">
        <v>82700.0</v>
      </c>
      <c r="H28" s="3">
        <v>82700.0</v>
      </c>
      <c r="I28" s="2">
        <v>88580.0</v>
      </c>
      <c r="J28" s="2">
        <v>91237.0</v>
      </c>
      <c r="K28" s="2">
        <v>93974.0</v>
      </c>
      <c r="L28" s="3">
        <v>96323.0</v>
      </c>
      <c r="M28" s="3">
        <v>98249.0</v>
      </c>
      <c r="N28" s="3">
        <v>99723.0</v>
      </c>
      <c r="O28" s="3">
        <v>101717.0</v>
      </c>
      <c r="P28" s="3">
        <v>103751.0</v>
      </c>
      <c r="Q28" s="3">
        <v>105826.0</v>
      </c>
      <c r="R28" s="3">
        <v>109001.0</v>
      </c>
      <c r="S28" s="3">
        <v>113361.0</v>
      </c>
      <c r="T28" s="3">
        <v>117669.0</v>
      </c>
      <c r="U28" s="3">
        <v>121755.0</v>
      </c>
    </row>
    <row r="29">
      <c r="A29" s="2" t="s">
        <v>27</v>
      </c>
      <c r="B29" s="3">
        <v>67181.0</v>
      </c>
      <c r="C29" s="3">
        <v>71205.0</v>
      </c>
      <c r="D29" s="3">
        <v>73875.0</v>
      </c>
      <c r="E29" s="3">
        <v>79519.0</v>
      </c>
      <c r="F29" s="3">
        <v>82700.0</v>
      </c>
      <c r="G29" s="3">
        <v>86008.0</v>
      </c>
      <c r="H29" s="3">
        <v>86452.0</v>
      </c>
      <c r="I29" s="2">
        <v>91645.0</v>
      </c>
      <c r="J29" s="2">
        <v>94394.0</v>
      </c>
      <c r="K29" s="2">
        <v>97226.0</v>
      </c>
      <c r="L29" s="3">
        <v>99657.0</v>
      </c>
      <c r="M29" s="3">
        <v>101650.0</v>
      </c>
      <c r="N29" s="3">
        <v>103175.0</v>
      </c>
      <c r="O29" s="3">
        <v>105239.0</v>
      </c>
      <c r="P29" s="3">
        <v>107344.0</v>
      </c>
      <c r="Q29" s="3">
        <v>109491.0</v>
      </c>
      <c r="R29" s="3">
        <v>113239.0</v>
      </c>
      <c r="S29" s="3">
        <v>117769.0</v>
      </c>
      <c r="T29" s="3">
        <v>122244.0</v>
      </c>
      <c r="U29" s="3">
        <v>126400.0</v>
      </c>
    </row>
    <row r="30">
      <c r="A30" s="2" t="s">
        <v>28</v>
      </c>
      <c r="B30" s="3">
        <v>70241.0</v>
      </c>
      <c r="C30" s="3">
        <v>74053.0</v>
      </c>
      <c r="D30" s="3">
        <v>76830.0</v>
      </c>
      <c r="E30" s="3">
        <v>82700.0</v>
      </c>
      <c r="F30" s="3">
        <v>86008.0</v>
      </c>
      <c r="G30" s="3">
        <v>89448.0</v>
      </c>
      <c r="H30" s="3">
        <v>90204.0</v>
      </c>
      <c r="I30" s="2">
        <v>94350.0</v>
      </c>
      <c r="J30" s="2">
        <v>97181.0</v>
      </c>
      <c r="K30" s="2">
        <v>100096.0</v>
      </c>
      <c r="L30" s="3">
        <v>102598.0</v>
      </c>
      <c r="M30" s="3">
        <v>104650.0</v>
      </c>
      <c r="N30" s="3">
        <v>106220.0</v>
      </c>
      <c r="O30" s="3">
        <v>108344.0</v>
      </c>
      <c r="P30" s="3">
        <v>110511.0</v>
      </c>
      <c r="Q30" s="3">
        <v>112721.0</v>
      </c>
      <c r="R30" s="3">
        <v>116103.0</v>
      </c>
      <c r="S30" s="3">
        <v>120747.0</v>
      </c>
      <c r="T30" s="3">
        <v>125335.0</v>
      </c>
      <c r="U30" s="3">
        <v>129596.0</v>
      </c>
    </row>
    <row r="31">
      <c r="A31" s="2" t="s">
        <v>29</v>
      </c>
      <c r="B31" s="3">
        <v>72438.0</v>
      </c>
      <c r="C31" s="3">
        <v>77015.0</v>
      </c>
      <c r="D31" s="3">
        <v>79903.0</v>
      </c>
      <c r="E31" s="3">
        <v>86008.0</v>
      </c>
      <c r="F31" s="3">
        <v>89448.0</v>
      </c>
      <c r="G31" s="3">
        <v>93026.0</v>
      </c>
      <c r="H31" s="3">
        <v>93956.0</v>
      </c>
      <c r="I31" s="2">
        <v>96775.0</v>
      </c>
      <c r="J31" s="2">
        <v>99678.0</v>
      </c>
      <c r="K31" s="2">
        <v>102669.0</v>
      </c>
      <c r="L31" s="3">
        <v>105236.0</v>
      </c>
      <c r="M31" s="3">
        <v>107341.0</v>
      </c>
      <c r="N31" s="3">
        <v>108951.0</v>
      </c>
      <c r="O31" s="3">
        <v>111130.0</v>
      </c>
      <c r="P31" s="3">
        <v>113353.0</v>
      </c>
      <c r="Q31" s="3">
        <v>115620.0</v>
      </c>
      <c r="R31" s="3">
        <v>119089.0</v>
      </c>
      <c r="S31" s="3">
        <v>123853.0</v>
      </c>
      <c r="T31" s="3">
        <v>128559.0</v>
      </c>
      <c r="U31" s="3">
        <v>132930.0</v>
      </c>
    </row>
    <row r="32">
      <c r="A32" s="2" t="s">
        <v>30</v>
      </c>
      <c r="B32" s="3">
        <v>73622.0</v>
      </c>
      <c r="C32" s="3">
        <v>80096.0</v>
      </c>
      <c r="D32" s="3">
        <v>93100.0</v>
      </c>
      <c r="E32" s="4"/>
      <c r="F32" s="4"/>
      <c r="G32" s="4"/>
      <c r="H32" s="4"/>
      <c r="I32" s="2">
        <v>100132.0</v>
      </c>
      <c r="J32" s="2">
        <v>103136.0</v>
      </c>
      <c r="K32" s="2">
        <v>106230.0</v>
      </c>
      <c r="L32" s="3">
        <v>108886.0</v>
      </c>
      <c r="M32" s="3">
        <v>111064.0</v>
      </c>
      <c r="N32" s="3">
        <v>112730.0</v>
      </c>
      <c r="O32" s="3">
        <v>114985.0</v>
      </c>
      <c r="P32" s="3">
        <v>117285.0</v>
      </c>
      <c r="Q32" s="3">
        <v>119631.0</v>
      </c>
      <c r="R32" s="3">
        <v>123220.0</v>
      </c>
      <c r="S32" s="3">
        <v>128149.0</v>
      </c>
      <c r="T32" s="3">
        <v>133019.0</v>
      </c>
      <c r="U32" s="3">
        <v>137542.0</v>
      </c>
    </row>
    <row r="33">
      <c r="A33" s="2" t="s">
        <v>31</v>
      </c>
      <c r="B33" s="3">
        <v>75623.0</v>
      </c>
      <c r="C33" s="3">
        <v>80096.0</v>
      </c>
      <c r="D33" s="3">
        <v>83100.0</v>
      </c>
      <c r="E33" s="3">
        <v>86008.0</v>
      </c>
      <c r="F33" s="3">
        <v>89448.0</v>
      </c>
      <c r="G33" s="3">
        <v>93206.0</v>
      </c>
      <c r="H33" s="3">
        <v>93956.0</v>
      </c>
      <c r="I33" s="2">
        <v>105266.0</v>
      </c>
      <c r="J33" s="2">
        <v>108424.0</v>
      </c>
      <c r="K33" s="2">
        <v>111677.0</v>
      </c>
      <c r="L33" s="3">
        <v>114469.0</v>
      </c>
      <c r="M33" s="3">
        <v>116758.0</v>
      </c>
      <c r="N33" s="3">
        <v>118509.0</v>
      </c>
      <c r="O33" s="3">
        <v>120879.0</v>
      </c>
      <c r="P33" s="3">
        <v>123297.0</v>
      </c>
      <c r="Q33" s="3">
        <v>125763.0</v>
      </c>
      <c r="R33" s="3">
        <v>129536.0</v>
      </c>
      <c r="S33" s="3">
        <v>134717.0</v>
      </c>
      <c r="T33" s="3">
        <v>139836.0</v>
      </c>
      <c r="U33" s="3">
        <v>144590.0</v>
      </c>
    </row>
    <row r="34">
      <c r="A34" s="2" t="s">
        <v>32</v>
      </c>
      <c r="B34" s="3">
        <v>76809.0</v>
      </c>
      <c r="C34" s="3">
        <v>80096.0</v>
      </c>
      <c r="D34" s="3">
        <v>86424.0</v>
      </c>
      <c r="E34" s="3">
        <v>89449.0</v>
      </c>
      <c r="F34" s="3">
        <v>93027.0</v>
      </c>
      <c r="G34" s="3">
        <v>96748.0</v>
      </c>
      <c r="H34" s="3">
        <v>96748.0</v>
      </c>
      <c r="I34" s="2">
        <v>111091.0</v>
      </c>
      <c r="J34" s="2">
        <v>114423.0</v>
      </c>
      <c r="K34" s="2">
        <v>117856.0</v>
      </c>
      <c r="L34" s="3">
        <v>120508.0</v>
      </c>
      <c r="M34" s="3">
        <v>122677.0</v>
      </c>
      <c r="N34" s="3">
        <v>124333.0</v>
      </c>
      <c r="O34" s="3">
        <v>126820.0</v>
      </c>
      <c r="P34" s="3">
        <v>129356.0</v>
      </c>
      <c r="Q34" s="3">
        <v>131943.0</v>
      </c>
      <c r="R34" s="3">
        <v>135901.0</v>
      </c>
      <c r="S34" s="3">
        <v>141337.0</v>
      </c>
      <c r="T34" s="3">
        <v>146708.0</v>
      </c>
      <c r="U34" s="3">
        <v>151696.0</v>
      </c>
      <c r="V34" s="2"/>
      <c r="W34" s="2"/>
      <c r="X34" s="2"/>
    </row>
    <row r="35">
      <c r="A35" s="2" t="s">
        <v>33</v>
      </c>
      <c r="B35" s="3">
        <v>79627.0</v>
      </c>
      <c r="C35" s="3">
        <v>83300.0</v>
      </c>
      <c r="D35" s="3">
        <v>89881.0</v>
      </c>
      <c r="E35" s="3">
        <v>93027.0</v>
      </c>
      <c r="F35" s="3">
        <v>96748.0</v>
      </c>
      <c r="G35" s="3">
        <v>100618.0</v>
      </c>
      <c r="H35" s="3">
        <v>101138.0</v>
      </c>
      <c r="I35" s="2">
        <v>116915.0</v>
      </c>
      <c r="J35" s="2">
        <v>120423.0</v>
      </c>
      <c r="K35" s="2">
        <v>124035.0</v>
      </c>
      <c r="L35" s="3">
        <v>126547.0</v>
      </c>
      <c r="M35" s="3">
        <v>128597.0</v>
      </c>
      <c r="N35" s="3">
        <v>130159.0</v>
      </c>
      <c r="O35" s="3">
        <v>132762.0</v>
      </c>
      <c r="P35" s="3">
        <v>135417.0</v>
      </c>
      <c r="Q35" s="3">
        <v>138125.0</v>
      </c>
      <c r="R35" s="3">
        <v>142269.0</v>
      </c>
      <c r="S35" s="3">
        <v>147960.0</v>
      </c>
      <c r="T35" s="3">
        <v>153582.0</v>
      </c>
      <c r="U35" s="3">
        <v>158804.0</v>
      </c>
    </row>
    <row r="36">
      <c r="A36" s="2" t="s">
        <v>34</v>
      </c>
      <c r="B36" s="3">
        <v>83222.0</v>
      </c>
      <c r="C36" s="3">
        <v>86632.0</v>
      </c>
      <c r="D36" s="3">
        <v>93476.0</v>
      </c>
      <c r="E36" s="3">
        <v>96747.0</v>
      </c>
      <c r="F36" s="3">
        <v>100617.0</v>
      </c>
      <c r="G36" s="3">
        <v>104642.0</v>
      </c>
      <c r="H36" s="3">
        <v>105527.0</v>
      </c>
      <c r="I36" s="2">
        <v>122872.0</v>
      </c>
      <c r="J36" s="2">
        <v>126558.0</v>
      </c>
      <c r="K36" s="2">
        <v>130354.0</v>
      </c>
      <c r="L36" s="3">
        <v>132730.0</v>
      </c>
      <c r="M36" s="3">
        <v>134665.0</v>
      </c>
      <c r="N36" s="3">
        <v>136138.0</v>
      </c>
      <c r="O36" s="3">
        <v>138861.0</v>
      </c>
      <c r="P36" s="3">
        <v>141638.0</v>
      </c>
      <c r="Q36" s="3">
        <v>144471.0</v>
      </c>
      <c r="R36" s="3">
        <v>148805.0</v>
      </c>
      <c r="S36" s="3">
        <v>154757.0</v>
      </c>
      <c r="T36" s="3">
        <v>160638.0</v>
      </c>
      <c r="U36" s="3">
        <v>166100.0</v>
      </c>
      <c r="V36" s="2"/>
      <c r="W36" s="2"/>
      <c r="X36" s="2"/>
    </row>
    <row r="37">
      <c r="A37" s="2" t="s">
        <v>35</v>
      </c>
      <c r="B37" s="3">
        <v>85363.0</v>
      </c>
      <c r="C37" s="3">
        <v>90097.0</v>
      </c>
      <c r="D37" s="3">
        <v>97215.0</v>
      </c>
      <c r="E37" s="3">
        <v>100617.0</v>
      </c>
      <c r="F37" s="3">
        <v>104642.0</v>
      </c>
      <c r="G37" s="3">
        <v>108828.0</v>
      </c>
      <c r="H37" s="3">
        <v>109916.0</v>
      </c>
      <c r="I37" s="2">
        <v>128565.0</v>
      </c>
      <c r="J37" s="2">
        <v>132422.0</v>
      </c>
      <c r="K37" s="2">
        <v>136394.0</v>
      </c>
      <c r="L37" s="3">
        <v>138631.0</v>
      </c>
      <c r="M37" s="3">
        <v>140450.0</v>
      </c>
      <c r="N37" s="3">
        <v>141832.0</v>
      </c>
      <c r="O37" s="3">
        <v>144669.0</v>
      </c>
      <c r="P37" s="3">
        <v>147562.0</v>
      </c>
      <c r="Q37" s="3">
        <v>150513.0</v>
      </c>
      <c r="R37" s="3">
        <v>155028.0</v>
      </c>
      <c r="S37" s="3">
        <v>161229.0</v>
      </c>
      <c r="T37" s="3">
        <v>167356.0</v>
      </c>
      <c r="U37" s="3">
        <v>173046.0</v>
      </c>
    </row>
    <row r="38">
      <c r="A38" s="2" t="s">
        <v>36</v>
      </c>
      <c r="B38" s="3">
        <v>86763.0</v>
      </c>
      <c r="C38" s="3">
        <v>90097.0</v>
      </c>
      <c r="D38" s="3">
        <v>101103.0</v>
      </c>
      <c r="E38" s="3">
        <v>104642.0</v>
      </c>
      <c r="F38" s="3">
        <v>108828.0</v>
      </c>
      <c r="G38" s="3">
        <v>113181.0</v>
      </c>
      <c r="H38" s="3">
        <v>113181.0</v>
      </c>
      <c r="I38" s="2">
        <v>134393.0</v>
      </c>
      <c r="J38" s="2">
        <v>138425.0</v>
      </c>
      <c r="K38" s="2">
        <v>142578.0</v>
      </c>
      <c r="L38" s="3">
        <v>144683.0</v>
      </c>
      <c r="M38" s="3">
        <v>146392.0</v>
      </c>
      <c r="N38" s="3">
        <v>147689.0</v>
      </c>
      <c r="O38" s="3">
        <v>150643.0</v>
      </c>
      <c r="P38" s="3">
        <v>153656.0</v>
      </c>
      <c r="Q38" s="3">
        <v>156729.0</v>
      </c>
      <c r="R38" s="3">
        <v>161431.0</v>
      </c>
      <c r="S38" s="3">
        <v>167888.0</v>
      </c>
      <c r="T38" s="3">
        <v>174268.0</v>
      </c>
      <c r="U38" s="3">
        <v>180193.0</v>
      </c>
    </row>
    <row r="39">
      <c r="A39" s="2" t="s">
        <v>37</v>
      </c>
      <c r="B39" s="3">
        <v>89576.0</v>
      </c>
      <c r="C39" s="3">
        <v>93701.0</v>
      </c>
      <c r="D39" s="3">
        <v>105148.0</v>
      </c>
      <c r="E39" s="3">
        <v>108828.0</v>
      </c>
      <c r="F39" s="3">
        <v>113181.0</v>
      </c>
      <c r="G39" s="3">
        <v>117708.0</v>
      </c>
      <c r="H39" s="3">
        <v>118316.0</v>
      </c>
      <c r="I39" s="2">
        <v>136379.0</v>
      </c>
      <c r="J39" s="2">
        <v>140470.0</v>
      </c>
      <c r="K39" s="2">
        <v>144685.0</v>
      </c>
      <c r="L39" s="3">
        <v>148302.0</v>
      </c>
      <c r="M39" s="3">
        <v>151268.0</v>
      </c>
      <c r="N39" s="3">
        <v>153537.0</v>
      </c>
      <c r="O39" s="3">
        <v>156608.0</v>
      </c>
      <c r="P39" s="3">
        <v>159740.0</v>
      </c>
      <c r="Q39" s="3">
        <v>162935.0</v>
      </c>
      <c r="R39" s="3">
        <v>167823.0</v>
      </c>
      <c r="S39" s="3">
        <v>174536.0</v>
      </c>
      <c r="T39" s="3">
        <v>181168.0</v>
      </c>
      <c r="U39" s="3">
        <v>187328.0</v>
      </c>
    </row>
    <row r="40">
      <c r="A40" s="2" t="s">
        <v>38</v>
      </c>
      <c r="B40" s="3">
        <v>90993.0</v>
      </c>
      <c r="C40" s="3">
        <v>93701.0</v>
      </c>
      <c r="D40" s="3">
        <v>109354.0</v>
      </c>
      <c r="E40" s="3">
        <v>113181.0</v>
      </c>
      <c r="F40" s="3">
        <v>117708.0</v>
      </c>
      <c r="G40" s="3">
        <v>122416.0</v>
      </c>
      <c r="H40" s="3">
        <v>123451.0</v>
      </c>
    </row>
    <row r="41">
      <c r="A41" s="2" t="s">
        <v>39</v>
      </c>
      <c r="B41" s="3">
        <v>92483.0</v>
      </c>
      <c r="C41" s="3">
        <v>97449.0</v>
      </c>
      <c r="D41" s="3">
        <v>113728.0</v>
      </c>
      <c r="E41" s="3">
        <v>117708.0</v>
      </c>
      <c r="F41" s="3">
        <v>122416.0</v>
      </c>
      <c r="G41" s="3">
        <v>127313.0</v>
      </c>
      <c r="H41" s="3">
        <v>128586.0</v>
      </c>
    </row>
    <row r="42">
      <c r="A42" s="2" t="s">
        <v>40</v>
      </c>
      <c r="B42" s="3">
        <v>97639.0</v>
      </c>
      <c r="C42" s="3">
        <v>101347.0</v>
      </c>
      <c r="D42" s="3">
        <v>118277.0</v>
      </c>
      <c r="E42" s="3">
        <v>122417.0</v>
      </c>
      <c r="F42" s="3">
        <v>127314.0</v>
      </c>
      <c r="G42" s="3">
        <v>132407.0</v>
      </c>
      <c r="H42" s="3">
        <v>132407.0</v>
      </c>
    </row>
    <row r="43">
      <c r="A43" s="2" t="s">
        <v>41</v>
      </c>
      <c r="B43" s="3">
        <v>101602.0</v>
      </c>
      <c r="C43" s="3">
        <v>105401.0</v>
      </c>
      <c r="D43" s="4"/>
      <c r="E43" s="4"/>
      <c r="F43" s="4"/>
      <c r="G43" s="4"/>
      <c r="H43" s="4"/>
      <c r="V43" s="2"/>
      <c r="W43" s="2"/>
      <c r="X43" s="2"/>
    </row>
    <row r="44">
      <c r="A44" s="2" t="s">
        <v>42</v>
      </c>
      <c r="B44" s="3">
        <v>104805.0</v>
      </c>
      <c r="C44" s="3">
        <v>109617.0</v>
      </c>
      <c r="D44" s="4"/>
      <c r="E44" s="4"/>
      <c r="F44" s="4"/>
      <c r="G44" s="4"/>
      <c r="H44" s="4"/>
    </row>
    <row r="45">
      <c r="A45" s="2" t="s">
        <v>43</v>
      </c>
      <c r="B45" s="3">
        <v>108040.0</v>
      </c>
      <c r="C45" s="3">
        <v>114002.0</v>
      </c>
      <c r="D45" s="4"/>
      <c r="E45" s="4"/>
      <c r="F45" s="4"/>
      <c r="G45" s="4"/>
      <c r="H45" s="4"/>
      <c r="V45" s="2"/>
      <c r="W45" s="2"/>
      <c r="X45" s="2"/>
    </row>
    <row r="46">
      <c r="B46" s="4"/>
    </row>
    <row r="47">
      <c r="B47" s="4"/>
    </row>
    <row r="48">
      <c r="B48" s="4"/>
    </row>
    <row r="49">
      <c r="B49" s="4"/>
    </row>
    <row r="50">
      <c r="B50" s="4"/>
    </row>
    <row r="51">
      <c r="B51" s="4"/>
    </row>
    <row r="52">
      <c r="B52" s="4"/>
    </row>
    <row r="53">
      <c r="B53" s="4"/>
      <c r="V53" s="2"/>
      <c r="W53" s="2"/>
      <c r="X53" s="2"/>
    </row>
    <row r="54">
      <c r="B54" s="4"/>
    </row>
    <row r="55">
      <c r="B55" s="4"/>
      <c r="V55" s="2"/>
      <c r="W55" s="2"/>
      <c r="X55" s="2"/>
    </row>
    <row r="56">
      <c r="B56" s="4"/>
    </row>
    <row r="57">
      <c r="B57" s="4"/>
    </row>
    <row r="58">
      <c r="B58" s="4"/>
    </row>
    <row r="59">
      <c r="B59" s="4"/>
    </row>
    <row r="60">
      <c r="B60" s="4"/>
    </row>
    <row r="61">
      <c r="B61" s="4"/>
    </row>
    <row r="62">
      <c r="B62" s="4"/>
    </row>
    <row r="63">
      <c r="B63" s="4"/>
      <c r="V63" s="2"/>
      <c r="W63" s="2"/>
      <c r="X63" s="2"/>
    </row>
    <row r="64">
      <c r="B64" s="4"/>
    </row>
    <row r="65">
      <c r="B65" s="4"/>
      <c r="V65" s="2"/>
      <c r="W65" s="2"/>
      <c r="X65" s="2"/>
    </row>
    <row r="66">
      <c r="B66" s="4"/>
    </row>
    <row r="67">
      <c r="B67" s="4"/>
    </row>
    <row r="68">
      <c r="B68" s="4"/>
    </row>
    <row r="69">
      <c r="B69" s="4"/>
    </row>
    <row r="70">
      <c r="B70" s="4"/>
    </row>
    <row r="71">
      <c r="B71" s="4"/>
    </row>
    <row r="72">
      <c r="B72" s="4"/>
    </row>
    <row r="73">
      <c r="B73" s="4"/>
    </row>
    <row r="74">
      <c r="B74" s="4"/>
      <c r="V74" s="2"/>
      <c r="W74" s="2"/>
      <c r="X74" s="2"/>
    </row>
    <row r="75">
      <c r="B75" s="4"/>
    </row>
    <row r="76">
      <c r="B76" s="4"/>
    </row>
    <row r="77">
      <c r="B77" s="4"/>
    </row>
    <row r="78">
      <c r="B78" s="4"/>
    </row>
    <row r="79">
      <c r="B79" s="4"/>
    </row>
    <row r="80">
      <c r="B80" s="4"/>
    </row>
    <row r="81">
      <c r="B81" s="4"/>
    </row>
    <row r="82">
      <c r="B82" s="4"/>
    </row>
    <row r="83">
      <c r="B83" s="4"/>
    </row>
    <row r="84">
      <c r="B84" s="4"/>
    </row>
    <row r="85">
      <c r="B85" s="4"/>
    </row>
    <row r="86">
      <c r="B86" s="4"/>
    </row>
    <row r="87">
      <c r="B87" s="4"/>
    </row>
    <row r="88">
      <c r="B88" s="4"/>
    </row>
    <row r="89">
      <c r="B89" s="4"/>
    </row>
    <row r="90">
      <c r="B90" s="4"/>
    </row>
    <row r="91">
      <c r="B91" s="4"/>
    </row>
    <row r="92">
      <c r="B92" s="4"/>
    </row>
    <row r="93">
      <c r="B93" s="4"/>
    </row>
    <row r="94">
      <c r="B94" s="4"/>
    </row>
    <row r="95">
      <c r="B95" s="4"/>
    </row>
    <row r="96">
      <c r="B96" s="4"/>
    </row>
    <row r="97">
      <c r="B97" s="4"/>
    </row>
    <row r="98">
      <c r="B98" s="4"/>
    </row>
    <row r="99">
      <c r="B99" s="4"/>
    </row>
    <row r="100">
      <c r="B100" s="4"/>
    </row>
    <row r="101">
      <c r="B101" s="4"/>
    </row>
    <row r="102">
      <c r="B102" s="4"/>
    </row>
    <row r="103">
      <c r="B103" s="4"/>
    </row>
    <row r="104">
      <c r="B104" s="4"/>
    </row>
    <row r="105">
      <c r="B105" s="4"/>
    </row>
    <row r="106">
      <c r="B106" s="4"/>
    </row>
    <row r="107">
      <c r="B107" s="4"/>
    </row>
    <row r="108">
      <c r="B108" s="4"/>
    </row>
    <row r="109">
      <c r="B109" s="4"/>
    </row>
    <row r="110">
      <c r="B110" s="4"/>
    </row>
    <row r="111">
      <c r="B111" s="4"/>
    </row>
    <row r="112">
      <c r="B112" s="4"/>
    </row>
    <row r="113">
      <c r="B113" s="4"/>
    </row>
    <row r="114">
      <c r="B114" s="4"/>
    </row>
    <row r="115">
      <c r="B115" s="4"/>
    </row>
    <row r="116">
      <c r="B116" s="4"/>
    </row>
    <row r="117">
      <c r="B117" s="4"/>
    </row>
    <row r="118">
      <c r="B118" s="4"/>
    </row>
    <row r="119">
      <c r="B119" s="4"/>
    </row>
    <row r="120">
      <c r="B120" s="4"/>
    </row>
    <row r="121">
      <c r="B121" s="4"/>
    </row>
    <row r="122">
      <c r="B122" s="4"/>
    </row>
    <row r="123">
      <c r="B123" s="4"/>
    </row>
    <row r="124">
      <c r="B124" s="4"/>
    </row>
    <row r="125">
      <c r="B125" s="4"/>
    </row>
    <row r="126">
      <c r="B126" s="4"/>
    </row>
    <row r="127">
      <c r="B127" s="4"/>
    </row>
    <row r="128">
      <c r="B128" s="4"/>
    </row>
    <row r="129">
      <c r="B129" s="4"/>
    </row>
    <row r="130">
      <c r="B130" s="4"/>
    </row>
    <row r="131">
      <c r="B131" s="4"/>
    </row>
    <row r="132">
      <c r="B132" s="4"/>
    </row>
    <row r="133">
      <c r="B133" s="4"/>
    </row>
    <row r="134">
      <c r="B134" s="4"/>
    </row>
    <row r="135">
      <c r="B135" s="4"/>
    </row>
    <row r="136">
      <c r="B136" s="4"/>
    </row>
    <row r="137">
      <c r="B137" s="4"/>
    </row>
    <row r="138">
      <c r="B138" s="4"/>
    </row>
    <row r="139">
      <c r="B139" s="4"/>
    </row>
    <row r="140">
      <c r="B140" s="4"/>
    </row>
    <row r="141">
      <c r="B141" s="4"/>
    </row>
    <row r="142">
      <c r="B142" s="4"/>
    </row>
    <row r="143">
      <c r="B143" s="4"/>
    </row>
    <row r="144">
      <c r="B144" s="4"/>
    </row>
    <row r="145">
      <c r="B145" s="4"/>
    </row>
    <row r="146">
      <c r="B146" s="4"/>
    </row>
    <row r="147">
      <c r="B147" s="4"/>
    </row>
    <row r="148">
      <c r="B148" s="4"/>
    </row>
    <row r="149">
      <c r="B149" s="4"/>
    </row>
    <row r="150">
      <c r="B150" s="4"/>
    </row>
    <row r="151">
      <c r="B151" s="4"/>
    </row>
    <row r="152">
      <c r="B152" s="4"/>
    </row>
    <row r="153">
      <c r="B153" s="4"/>
    </row>
    <row r="154">
      <c r="B154" s="4"/>
    </row>
    <row r="155">
      <c r="B155" s="4"/>
    </row>
    <row r="156">
      <c r="B156" s="4"/>
    </row>
    <row r="157">
      <c r="B157" s="4"/>
    </row>
    <row r="158">
      <c r="B158" s="4"/>
    </row>
    <row r="159">
      <c r="B159" s="4"/>
    </row>
    <row r="160">
      <c r="B160" s="4"/>
    </row>
    <row r="161">
      <c r="B161" s="4"/>
    </row>
    <row r="162">
      <c r="B162" s="4"/>
    </row>
    <row r="163">
      <c r="B163" s="4"/>
    </row>
    <row r="164">
      <c r="B164" s="4"/>
    </row>
    <row r="165">
      <c r="B165" s="4"/>
    </row>
    <row r="166">
      <c r="B166" s="4"/>
    </row>
    <row r="167">
      <c r="B167" s="4"/>
    </row>
    <row r="168">
      <c r="B168" s="4"/>
    </row>
    <row r="169">
      <c r="B169" s="4"/>
    </row>
    <row r="170">
      <c r="B170" s="4"/>
    </row>
    <row r="171">
      <c r="B171" s="4"/>
    </row>
    <row r="172">
      <c r="B172" s="4"/>
    </row>
    <row r="173">
      <c r="B173" s="4"/>
    </row>
    <row r="174">
      <c r="B174" s="4"/>
    </row>
    <row r="175">
      <c r="B175" s="4"/>
    </row>
    <row r="176">
      <c r="B176" s="4"/>
    </row>
    <row r="177">
      <c r="B177" s="4"/>
    </row>
    <row r="178">
      <c r="B178" s="4"/>
    </row>
    <row r="179">
      <c r="B179" s="4"/>
    </row>
    <row r="180">
      <c r="B180" s="4"/>
    </row>
    <row r="181">
      <c r="B181" s="4"/>
    </row>
    <row r="182">
      <c r="B182" s="4"/>
    </row>
    <row r="183">
      <c r="B183" s="4"/>
    </row>
    <row r="184">
      <c r="B184" s="4"/>
    </row>
    <row r="185">
      <c r="B185" s="4"/>
    </row>
    <row r="186">
      <c r="B186" s="4"/>
    </row>
    <row r="187">
      <c r="B187" s="4"/>
    </row>
    <row r="188">
      <c r="B188" s="4"/>
    </row>
    <row r="189">
      <c r="B189" s="4"/>
    </row>
    <row r="190">
      <c r="B190" s="4"/>
    </row>
    <row r="191">
      <c r="B191" s="4"/>
    </row>
    <row r="192">
      <c r="B192" s="4"/>
    </row>
    <row r="193">
      <c r="B193" s="4"/>
    </row>
    <row r="194">
      <c r="B194" s="4"/>
    </row>
    <row r="195">
      <c r="B195" s="4"/>
    </row>
    <row r="196">
      <c r="B196" s="4"/>
    </row>
    <row r="197">
      <c r="B197" s="4"/>
    </row>
    <row r="198">
      <c r="B198" s="4"/>
    </row>
    <row r="199">
      <c r="B199" s="4"/>
    </row>
    <row r="200">
      <c r="B200" s="4"/>
    </row>
    <row r="201">
      <c r="B201" s="4"/>
    </row>
    <row r="202">
      <c r="B202" s="4"/>
    </row>
    <row r="203">
      <c r="B203" s="4"/>
    </row>
    <row r="204">
      <c r="B204" s="4"/>
    </row>
    <row r="205">
      <c r="B205" s="4"/>
    </row>
    <row r="206">
      <c r="B206" s="4"/>
    </row>
    <row r="207">
      <c r="B207" s="4"/>
    </row>
    <row r="208">
      <c r="B208" s="4"/>
    </row>
    <row r="209">
      <c r="B209" s="4"/>
    </row>
    <row r="210">
      <c r="B210" s="4"/>
    </row>
    <row r="211">
      <c r="B211" s="4"/>
    </row>
    <row r="212">
      <c r="B212" s="4"/>
    </row>
    <row r="213">
      <c r="B213" s="4"/>
    </row>
    <row r="214">
      <c r="B214" s="4"/>
    </row>
    <row r="215">
      <c r="B215" s="4"/>
    </row>
    <row r="216">
      <c r="B216" s="4"/>
    </row>
    <row r="217">
      <c r="B217" s="4"/>
    </row>
    <row r="218">
      <c r="B218" s="4"/>
    </row>
    <row r="219">
      <c r="B219" s="4"/>
    </row>
    <row r="220">
      <c r="B220" s="4"/>
    </row>
    <row r="221">
      <c r="B221" s="4"/>
    </row>
    <row r="222">
      <c r="B222" s="4"/>
    </row>
    <row r="223">
      <c r="B223" s="4"/>
    </row>
    <row r="224">
      <c r="B224" s="4"/>
    </row>
    <row r="225">
      <c r="B225" s="4"/>
    </row>
    <row r="226">
      <c r="B226" s="4"/>
    </row>
    <row r="227">
      <c r="B227" s="4"/>
    </row>
    <row r="228">
      <c r="B228" s="4"/>
    </row>
    <row r="229">
      <c r="B229" s="4"/>
    </row>
    <row r="230">
      <c r="B230" s="4"/>
    </row>
    <row r="231">
      <c r="B231" s="4"/>
    </row>
    <row r="232">
      <c r="B232" s="4"/>
    </row>
    <row r="233">
      <c r="B233" s="4"/>
    </row>
    <row r="234">
      <c r="B234" s="4"/>
    </row>
    <row r="235">
      <c r="B235" s="4"/>
    </row>
    <row r="236">
      <c r="B236" s="4"/>
    </row>
    <row r="237">
      <c r="B237" s="4"/>
    </row>
    <row r="238">
      <c r="B238" s="4"/>
    </row>
    <row r="239">
      <c r="B239" s="4"/>
    </row>
    <row r="240">
      <c r="B240" s="4"/>
    </row>
    <row r="241">
      <c r="B241" s="4"/>
    </row>
    <row r="242">
      <c r="B242" s="4"/>
    </row>
    <row r="243">
      <c r="B243" s="4"/>
    </row>
    <row r="244">
      <c r="B244" s="4"/>
    </row>
    <row r="245">
      <c r="B245" s="4"/>
    </row>
    <row r="246">
      <c r="B246" s="4"/>
    </row>
    <row r="247">
      <c r="B247" s="4"/>
    </row>
    <row r="248">
      <c r="B248" s="4"/>
    </row>
    <row r="249">
      <c r="B249" s="4"/>
    </row>
    <row r="250">
      <c r="B250" s="4"/>
    </row>
    <row r="251">
      <c r="B251" s="4"/>
    </row>
    <row r="252">
      <c r="B252" s="4"/>
    </row>
    <row r="253">
      <c r="B253" s="4"/>
    </row>
    <row r="254">
      <c r="B254" s="4"/>
    </row>
    <row r="255">
      <c r="B255" s="4"/>
    </row>
    <row r="256">
      <c r="B256" s="4"/>
    </row>
    <row r="257">
      <c r="B257" s="4"/>
    </row>
    <row r="258">
      <c r="B258" s="4"/>
    </row>
    <row r="259">
      <c r="B259" s="4"/>
    </row>
    <row r="260">
      <c r="B260" s="4"/>
    </row>
    <row r="261">
      <c r="B261" s="4"/>
    </row>
    <row r="262">
      <c r="B262" s="4"/>
    </row>
    <row r="263">
      <c r="B263" s="4"/>
    </row>
    <row r="264">
      <c r="B264" s="4"/>
    </row>
    <row r="265">
      <c r="B265" s="4"/>
    </row>
    <row r="266">
      <c r="B266" s="4"/>
    </row>
    <row r="267">
      <c r="B267" s="4"/>
    </row>
    <row r="268">
      <c r="B268" s="4"/>
    </row>
    <row r="269">
      <c r="B269" s="4"/>
    </row>
    <row r="270">
      <c r="B270" s="4"/>
    </row>
    <row r="271">
      <c r="B271" s="4"/>
    </row>
    <row r="272">
      <c r="B272" s="4"/>
    </row>
    <row r="273">
      <c r="B273" s="4"/>
    </row>
    <row r="274">
      <c r="B274" s="4"/>
    </row>
    <row r="275">
      <c r="B275" s="4"/>
    </row>
    <row r="276">
      <c r="B276" s="4"/>
    </row>
    <row r="277">
      <c r="B277" s="4"/>
    </row>
    <row r="278">
      <c r="B278" s="4"/>
    </row>
    <row r="279">
      <c r="B279" s="4"/>
    </row>
    <row r="280">
      <c r="B280" s="4"/>
    </row>
    <row r="281">
      <c r="B281" s="4"/>
    </row>
    <row r="282">
      <c r="B282" s="4"/>
    </row>
    <row r="283">
      <c r="B283" s="4"/>
    </row>
    <row r="284">
      <c r="B284" s="4"/>
    </row>
    <row r="285">
      <c r="B285" s="4"/>
    </row>
    <row r="286">
      <c r="B286" s="4"/>
    </row>
    <row r="287">
      <c r="B287" s="4"/>
    </row>
    <row r="288">
      <c r="B288" s="4"/>
    </row>
    <row r="289">
      <c r="B289" s="4"/>
    </row>
    <row r="290">
      <c r="B290" s="4"/>
    </row>
    <row r="291">
      <c r="B291" s="4"/>
    </row>
    <row r="292">
      <c r="B292" s="4"/>
    </row>
    <row r="293">
      <c r="B293" s="4"/>
    </row>
    <row r="294">
      <c r="B294" s="4"/>
    </row>
    <row r="295">
      <c r="B295" s="4"/>
    </row>
    <row r="296">
      <c r="B296" s="4"/>
    </row>
    <row r="297">
      <c r="B297" s="4"/>
    </row>
    <row r="298">
      <c r="B298" s="4"/>
    </row>
    <row r="299">
      <c r="B299" s="4"/>
    </row>
    <row r="300">
      <c r="B300" s="4"/>
    </row>
    <row r="301">
      <c r="B301" s="4"/>
    </row>
    <row r="302">
      <c r="B302" s="4"/>
    </row>
    <row r="303">
      <c r="B303" s="4"/>
    </row>
    <row r="304">
      <c r="B304" s="4"/>
    </row>
    <row r="305">
      <c r="B305" s="4"/>
    </row>
    <row r="306">
      <c r="B306" s="4"/>
    </row>
    <row r="307">
      <c r="B307" s="4"/>
    </row>
    <row r="308">
      <c r="B308" s="4"/>
    </row>
    <row r="309">
      <c r="B309" s="4"/>
    </row>
    <row r="310">
      <c r="B310" s="4"/>
    </row>
    <row r="311">
      <c r="B311" s="4"/>
    </row>
    <row r="312">
      <c r="B312" s="4"/>
    </row>
    <row r="313">
      <c r="B313" s="4"/>
    </row>
    <row r="314">
      <c r="B314" s="4"/>
    </row>
    <row r="315">
      <c r="B315" s="4"/>
    </row>
    <row r="316">
      <c r="B316" s="4"/>
    </row>
    <row r="317">
      <c r="B317" s="4"/>
    </row>
    <row r="318">
      <c r="B318" s="4"/>
    </row>
    <row r="319">
      <c r="B319" s="4"/>
    </row>
    <row r="320">
      <c r="B320" s="4"/>
    </row>
    <row r="321">
      <c r="B321" s="4"/>
    </row>
    <row r="322">
      <c r="B322" s="4"/>
    </row>
    <row r="323">
      <c r="B323" s="4"/>
    </row>
    <row r="324">
      <c r="B324" s="4"/>
    </row>
    <row r="325">
      <c r="B325" s="4"/>
    </row>
    <row r="326">
      <c r="B326" s="4"/>
    </row>
    <row r="327">
      <c r="B327" s="4"/>
    </row>
    <row r="328">
      <c r="B328" s="4"/>
    </row>
    <row r="329">
      <c r="B329" s="4"/>
    </row>
    <row r="330">
      <c r="B330" s="4"/>
    </row>
    <row r="331">
      <c r="B331" s="4"/>
    </row>
    <row r="332">
      <c r="B332" s="4"/>
    </row>
    <row r="333">
      <c r="B333" s="4"/>
    </row>
    <row r="334">
      <c r="B334" s="4"/>
    </row>
    <row r="335">
      <c r="B335" s="4"/>
    </row>
    <row r="336">
      <c r="B336" s="4"/>
    </row>
    <row r="337">
      <c r="B337" s="4"/>
    </row>
    <row r="338">
      <c r="B338" s="4"/>
    </row>
    <row r="339">
      <c r="B339" s="4"/>
    </row>
    <row r="340">
      <c r="B340" s="4"/>
    </row>
    <row r="341">
      <c r="B341" s="4"/>
    </row>
    <row r="342">
      <c r="B342" s="4"/>
    </row>
    <row r="343">
      <c r="B343" s="4"/>
    </row>
    <row r="344">
      <c r="B344" s="4"/>
    </row>
    <row r="345">
      <c r="B345" s="4"/>
    </row>
    <row r="346">
      <c r="B346" s="4"/>
    </row>
    <row r="347">
      <c r="B347" s="4"/>
    </row>
    <row r="348">
      <c r="B348" s="4"/>
    </row>
    <row r="349">
      <c r="B349" s="4"/>
    </row>
    <row r="350">
      <c r="B350" s="4"/>
    </row>
    <row r="351">
      <c r="B351" s="4"/>
    </row>
    <row r="352">
      <c r="B352" s="4"/>
    </row>
    <row r="353">
      <c r="B353" s="4"/>
    </row>
    <row r="354">
      <c r="B354" s="4"/>
    </row>
    <row r="355">
      <c r="B355" s="4"/>
    </row>
    <row r="356">
      <c r="B356" s="4"/>
    </row>
    <row r="357">
      <c r="B357" s="4"/>
    </row>
    <row r="358">
      <c r="B358" s="4"/>
    </row>
    <row r="359">
      <c r="B359" s="4"/>
    </row>
    <row r="360">
      <c r="B360" s="4"/>
    </row>
    <row r="361">
      <c r="B361" s="4"/>
    </row>
    <row r="362">
      <c r="B362" s="4"/>
    </row>
    <row r="363">
      <c r="B363" s="4"/>
    </row>
    <row r="364">
      <c r="B364" s="4"/>
    </row>
    <row r="365">
      <c r="B365" s="4"/>
    </row>
    <row r="366">
      <c r="B366" s="4"/>
    </row>
    <row r="367">
      <c r="B367" s="4"/>
    </row>
    <row r="368">
      <c r="B368" s="4"/>
    </row>
    <row r="369">
      <c r="B369" s="4"/>
    </row>
    <row r="370">
      <c r="B370" s="4"/>
    </row>
    <row r="371">
      <c r="B371" s="4"/>
    </row>
    <row r="372">
      <c r="B372" s="4"/>
    </row>
    <row r="373">
      <c r="B373" s="4"/>
    </row>
    <row r="374">
      <c r="B374" s="4"/>
    </row>
    <row r="375">
      <c r="B375" s="4"/>
    </row>
    <row r="376">
      <c r="B376" s="4"/>
    </row>
    <row r="377">
      <c r="B377" s="4"/>
    </row>
    <row r="378">
      <c r="B378" s="4"/>
    </row>
    <row r="379">
      <c r="B379" s="4"/>
    </row>
    <row r="380">
      <c r="B380" s="4"/>
    </row>
    <row r="381">
      <c r="B381" s="4"/>
    </row>
    <row r="382">
      <c r="B382" s="4"/>
    </row>
    <row r="383">
      <c r="B383" s="4"/>
    </row>
    <row r="384">
      <c r="B384" s="4"/>
    </row>
    <row r="385">
      <c r="B385" s="4"/>
    </row>
    <row r="386">
      <c r="B386" s="4"/>
    </row>
    <row r="387">
      <c r="B387" s="4"/>
    </row>
    <row r="388">
      <c r="B388" s="4"/>
    </row>
    <row r="389">
      <c r="B389" s="4"/>
    </row>
    <row r="390">
      <c r="B390" s="4"/>
    </row>
    <row r="391">
      <c r="B391" s="4"/>
    </row>
    <row r="392">
      <c r="B392" s="4"/>
    </row>
    <row r="393">
      <c r="B393" s="4"/>
    </row>
    <row r="394">
      <c r="B394" s="4"/>
    </row>
    <row r="395">
      <c r="B395" s="4"/>
    </row>
    <row r="396">
      <c r="B396" s="4"/>
    </row>
    <row r="397">
      <c r="B397" s="4"/>
    </row>
    <row r="398">
      <c r="B398" s="4"/>
    </row>
    <row r="399">
      <c r="B399" s="4"/>
    </row>
    <row r="400">
      <c r="B400" s="4"/>
    </row>
    <row r="401">
      <c r="B401" s="4"/>
    </row>
    <row r="402">
      <c r="B402" s="4"/>
    </row>
    <row r="403">
      <c r="B403" s="4"/>
    </row>
    <row r="404">
      <c r="B404" s="4"/>
    </row>
    <row r="405">
      <c r="B405" s="4"/>
    </row>
    <row r="406">
      <c r="B406" s="4"/>
    </row>
    <row r="407">
      <c r="B407" s="4"/>
    </row>
    <row r="408">
      <c r="B408" s="4"/>
    </row>
    <row r="409">
      <c r="B409" s="4"/>
    </row>
    <row r="410">
      <c r="B410" s="4"/>
    </row>
    <row r="411">
      <c r="B411" s="4"/>
    </row>
    <row r="412">
      <c r="B412" s="4"/>
    </row>
    <row r="413">
      <c r="B413" s="4"/>
    </row>
    <row r="414">
      <c r="B414" s="4"/>
    </row>
    <row r="415">
      <c r="B415" s="4"/>
    </row>
    <row r="416">
      <c r="B416" s="4"/>
    </row>
    <row r="417">
      <c r="B417" s="4"/>
    </row>
    <row r="418">
      <c r="B418" s="4"/>
    </row>
    <row r="419">
      <c r="B419" s="4"/>
    </row>
    <row r="420">
      <c r="B420" s="4"/>
    </row>
    <row r="421">
      <c r="B421" s="4"/>
    </row>
    <row r="422">
      <c r="B422" s="4"/>
    </row>
    <row r="423">
      <c r="B423" s="4"/>
    </row>
    <row r="424">
      <c r="B424" s="4"/>
    </row>
    <row r="425">
      <c r="B425" s="4"/>
    </row>
    <row r="426">
      <c r="B426" s="4"/>
    </row>
    <row r="427">
      <c r="B427" s="4"/>
    </row>
    <row r="428">
      <c r="B428" s="4"/>
    </row>
    <row r="429">
      <c r="B429" s="4"/>
    </row>
    <row r="430">
      <c r="B430" s="4"/>
    </row>
    <row r="431">
      <c r="B431" s="4"/>
    </row>
    <row r="432">
      <c r="B432" s="4"/>
    </row>
    <row r="433">
      <c r="B433" s="4"/>
    </row>
    <row r="434">
      <c r="B434" s="4"/>
    </row>
    <row r="435">
      <c r="B435" s="4"/>
    </row>
    <row r="436">
      <c r="B436" s="4"/>
    </row>
    <row r="437">
      <c r="B437" s="4"/>
    </row>
    <row r="438">
      <c r="B438" s="4"/>
    </row>
    <row r="439">
      <c r="B439" s="4"/>
    </row>
    <row r="440">
      <c r="B440" s="4"/>
    </row>
    <row r="441">
      <c r="B441" s="4"/>
    </row>
    <row r="442">
      <c r="B442" s="4"/>
    </row>
    <row r="443">
      <c r="B443" s="4"/>
    </row>
    <row r="444">
      <c r="B444" s="4"/>
    </row>
    <row r="445">
      <c r="B445" s="4"/>
    </row>
    <row r="446">
      <c r="B446" s="4"/>
    </row>
    <row r="447">
      <c r="B447" s="4"/>
    </row>
    <row r="448">
      <c r="B448" s="4"/>
    </row>
    <row r="449">
      <c r="B449" s="4"/>
    </row>
    <row r="450">
      <c r="B450" s="4"/>
    </row>
    <row r="451">
      <c r="B451" s="4"/>
    </row>
    <row r="452">
      <c r="B452" s="4"/>
    </row>
    <row r="453">
      <c r="B453" s="4"/>
    </row>
    <row r="454">
      <c r="B454" s="4"/>
    </row>
    <row r="455">
      <c r="B455" s="4"/>
    </row>
    <row r="456">
      <c r="B456" s="4"/>
    </row>
    <row r="457">
      <c r="B457" s="4"/>
    </row>
    <row r="458">
      <c r="B458" s="4"/>
    </row>
    <row r="459">
      <c r="B459" s="4"/>
    </row>
    <row r="460">
      <c r="B460" s="4"/>
    </row>
    <row r="461">
      <c r="B461" s="4"/>
    </row>
    <row r="462">
      <c r="B462" s="4"/>
    </row>
    <row r="463">
      <c r="B463" s="4"/>
    </row>
    <row r="464">
      <c r="B464" s="4"/>
    </row>
    <row r="465">
      <c r="B465" s="4"/>
    </row>
    <row r="466">
      <c r="B466" s="4"/>
    </row>
    <row r="467">
      <c r="B467" s="4"/>
    </row>
    <row r="468">
      <c r="B468" s="4"/>
    </row>
    <row r="469">
      <c r="B469" s="4"/>
    </row>
    <row r="470">
      <c r="B470" s="4"/>
    </row>
    <row r="471">
      <c r="B471" s="4"/>
    </row>
    <row r="472">
      <c r="B472" s="4"/>
    </row>
    <row r="473">
      <c r="B473" s="4"/>
    </row>
    <row r="474">
      <c r="B474" s="4"/>
    </row>
    <row r="475">
      <c r="B475" s="4"/>
    </row>
    <row r="476">
      <c r="B476" s="4"/>
    </row>
    <row r="477">
      <c r="B477" s="4"/>
    </row>
    <row r="478">
      <c r="B478" s="4"/>
    </row>
    <row r="479">
      <c r="B479" s="4"/>
    </row>
    <row r="480">
      <c r="B480" s="4"/>
    </row>
    <row r="481">
      <c r="B481" s="4"/>
    </row>
    <row r="482">
      <c r="B482" s="4"/>
    </row>
    <row r="483">
      <c r="B483" s="4"/>
    </row>
    <row r="484">
      <c r="B484" s="4"/>
    </row>
    <row r="485">
      <c r="B485" s="4"/>
    </row>
    <row r="486">
      <c r="B486" s="4"/>
    </row>
    <row r="487">
      <c r="B487" s="4"/>
    </row>
    <row r="488">
      <c r="B488" s="4"/>
    </row>
    <row r="489">
      <c r="B489" s="4"/>
    </row>
    <row r="490">
      <c r="B490" s="4"/>
    </row>
    <row r="491">
      <c r="B491" s="4"/>
    </row>
    <row r="492">
      <c r="B492" s="4"/>
    </row>
    <row r="493">
      <c r="B493" s="4"/>
    </row>
    <row r="494">
      <c r="B494" s="4"/>
    </row>
    <row r="495">
      <c r="B495" s="4"/>
    </row>
    <row r="496">
      <c r="B496" s="4"/>
    </row>
    <row r="497">
      <c r="B497" s="4"/>
    </row>
    <row r="498">
      <c r="B498" s="4"/>
    </row>
    <row r="499">
      <c r="B499" s="4"/>
    </row>
    <row r="500">
      <c r="B500" s="4"/>
    </row>
    <row r="501">
      <c r="B501" s="4"/>
    </row>
    <row r="502">
      <c r="B502" s="4"/>
    </row>
    <row r="503">
      <c r="B503" s="4"/>
    </row>
    <row r="504">
      <c r="B504" s="4"/>
    </row>
    <row r="505">
      <c r="B505" s="4"/>
    </row>
    <row r="506">
      <c r="B506" s="4"/>
    </row>
    <row r="507">
      <c r="B507" s="4"/>
    </row>
    <row r="508">
      <c r="B508" s="4"/>
    </row>
    <row r="509">
      <c r="B509" s="4"/>
    </row>
    <row r="510">
      <c r="B510" s="4"/>
    </row>
    <row r="511">
      <c r="B511" s="4"/>
    </row>
    <row r="512">
      <c r="B512" s="4"/>
    </row>
    <row r="513">
      <c r="B513" s="4"/>
    </row>
    <row r="514">
      <c r="B514" s="4"/>
    </row>
    <row r="515">
      <c r="B515" s="4"/>
    </row>
    <row r="516">
      <c r="B516" s="4"/>
    </row>
    <row r="517">
      <c r="B517" s="4"/>
    </row>
    <row r="518">
      <c r="B518" s="4"/>
    </row>
    <row r="519">
      <c r="B519" s="4"/>
    </row>
    <row r="520">
      <c r="B520" s="4"/>
    </row>
    <row r="521">
      <c r="B521" s="4"/>
    </row>
    <row r="522">
      <c r="B522" s="4"/>
    </row>
    <row r="523">
      <c r="B523" s="4"/>
    </row>
    <row r="524">
      <c r="B524" s="4"/>
    </row>
    <row r="525">
      <c r="B525" s="4"/>
    </row>
    <row r="526">
      <c r="B526" s="4"/>
    </row>
    <row r="527">
      <c r="B527" s="4"/>
    </row>
    <row r="528">
      <c r="B528" s="4"/>
    </row>
    <row r="529">
      <c r="B529" s="4"/>
    </row>
    <row r="530">
      <c r="B530" s="4"/>
    </row>
    <row r="531">
      <c r="B531" s="4"/>
    </row>
    <row r="532">
      <c r="B532" s="4"/>
    </row>
    <row r="533">
      <c r="B533" s="4"/>
    </row>
    <row r="534">
      <c r="B534" s="4"/>
    </row>
    <row r="535">
      <c r="B535" s="4"/>
    </row>
    <row r="536">
      <c r="B536" s="4"/>
    </row>
    <row r="537">
      <c r="B537" s="4"/>
    </row>
    <row r="538">
      <c r="B538" s="4"/>
    </row>
    <row r="539">
      <c r="B539" s="4"/>
    </row>
    <row r="540">
      <c r="B540" s="4"/>
    </row>
    <row r="541">
      <c r="B541" s="4"/>
    </row>
    <row r="542">
      <c r="B542" s="4"/>
    </row>
    <row r="543">
      <c r="B543" s="4"/>
    </row>
    <row r="544">
      <c r="B544" s="4"/>
    </row>
    <row r="545">
      <c r="B545" s="4"/>
    </row>
    <row r="546">
      <c r="B546" s="4"/>
    </row>
    <row r="547">
      <c r="B547" s="4"/>
    </row>
    <row r="548">
      <c r="B548" s="4"/>
    </row>
    <row r="549">
      <c r="B549" s="4"/>
    </row>
    <row r="550">
      <c r="B550" s="4"/>
    </row>
    <row r="551">
      <c r="B551" s="4"/>
    </row>
    <row r="552">
      <c r="B552" s="4"/>
    </row>
    <row r="553">
      <c r="B553" s="4"/>
    </row>
    <row r="554">
      <c r="B554" s="4"/>
    </row>
    <row r="555">
      <c r="B555" s="4"/>
    </row>
    <row r="556">
      <c r="B556" s="4"/>
    </row>
    <row r="557">
      <c r="B557" s="4"/>
    </row>
    <row r="558">
      <c r="B558" s="4"/>
    </row>
    <row r="559">
      <c r="B559" s="4"/>
    </row>
    <row r="560">
      <c r="B560" s="4"/>
    </row>
    <row r="561">
      <c r="B561" s="4"/>
    </row>
    <row r="562">
      <c r="B562" s="4"/>
    </row>
    <row r="563">
      <c r="B563" s="4"/>
    </row>
    <row r="564">
      <c r="B564" s="4"/>
    </row>
    <row r="565">
      <c r="B565" s="4"/>
    </row>
    <row r="566">
      <c r="B566" s="4"/>
    </row>
    <row r="567">
      <c r="B567" s="4"/>
    </row>
    <row r="568">
      <c r="B568" s="4"/>
    </row>
    <row r="569">
      <c r="B569" s="4"/>
    </row>
    <row r="570">
      <c r="B570" s="4"/>
    </row>
    <row r="571">
      <c r="B571" s="4"/>
    </row>
    <row r="572">
      <c r="B572" s="4"/>
    </row>
    <row r="573">
      <c r="B573" s="4"/>
    </row>
    <row r="574">
      <c r="B574" s="4"/>
    </row>
    <row r="575">
      <c r="B575" s="4"/>
    </row>
    <row r="576">
      <c r="B576" s="4"/>
    </row>
    <row r="577">
      <c r="B577" s="4"/>
    </row>
    <row r="578">
      <c r="B578" s="4"/>
    </row>
    <row r="579">
      <c r="B579" s="4"/>
    </row>
    <row r="580">
      <c r="B580" s="4"/>
    </row>
    <row r="581">
      <c r="B581" s="4"/>
    </row>
    <row r="582">
      <c r="B582" s="4"/>
    </row>
    <row r="583">
      <c r="B583" s="4"/>
    </row>
    <row r="584">
      <c r="B584" s="4"/>
    </row>
    <row r="585">
      <c r="B585" s="4"/>
    </row>
    <row r="586">
      <c r="B586" s="4"/>
    </row>
    <row r="587">
      <c r="B587" s="4"/>
    </row>
    <row r="588">
      <c r="B588" s="4"/>
    </row>
    <row r="589">
      <c r="B589" s="4"/>
    </row>
    <row r="590">
      <c r="B590" s="4"/>
    </row>
    <row r="591">
      <c r="B591" s="4"/>
    </row>
    <row r="592">
      <c r="B592" s="4"/>
    </row>
    <row r="593">
      <c r="B593" s="4"/>
    </row>
    <row r="594">
      <c r="B594" s="4"/>
    </row>
    <row r="595">
      <c r="B595" s="4"/>
    </row>
    <row r="596">
      <c r="B596" s="4"/>
    </row>
    <row r="597">
      <c r="B597" s="4"/>
    </row>
    <row r="598">
      <c r="B598" s="4"/>
    </row>
    <row r="599">
      <c r="B599" s="4"/>
    </row>
    <row r="600">
      <c r="B600" s="4"/>
    </row>
    <row r="601">
      <c r="B601" s="4"/>
    </row>
    <row r="602">
      <c r="B602" s="4"/>
    </row>
    <row r="603">
      <c r="B603" s="4"/>
    </row>
    <row r="604">
      <c r="B604" s="4"/>
    </row>
    <row r="605">
      <c r="B605" s="4"/>
    </row>
    <row r="606">
      <c r="B606" s="4"/>
    </row>
    <row r="607">
      <c r="B607" s="4"/>
    </row>
    <row r="608">
      <c r="B608" s="4"/>
    </row>
    <row r="609">
      <c r="B609" s="4"/>
    </row>
    <row r="610">
      <c r="B610" s="4"/>
    </row>
    <row r="611">
      <c r="B611" s="4"/>
    </row>
    <row r="612">
      <c r="B612" s="4"/>
    </row>
    <row r="613">
      <c r="B613" s="4"/>
    </row>
    <row r="614">
      <c r="B614" s="4"/>
    </row>
    <row r="615">
      <c r="B615" s="4"/>
    </row>
    <row r="616">
      <c r="B616" s="4"/>
    </row>
    <row r="617">
      <c r="B617" s="4"/>
    </row>
    <row r="618">
      <c r="B618" s="4"/>
    </row>
    <row r="619">
      <c r="B619" s="4"/>
    </row>
    <row r="620">
      <c r="B620" s="4"/>
    </row>
    <row r="621">
      <c r="B621" s="4"/>
    </row>
    <row r="622">
      <c r="B622" s="4"/>
    </row>
    <row r="623">
      <c r="B623" s="4"/>
    </row>
    <row r="624">
      <c r="B624" s="4"/>
    </row>
    <row r="625">
      <c r="B625" s="4"/>
    </row>
    <row r="626">
      <c r="B626" s="4"/>
    </row>
    <row r="627">
      <c r="B627" s="4"/>
    </row>
    <row r="628">
      <c r="B628" s="4"/>
    </row>
    <row r="629">
      <c r="B629" s="4"/>
    </row>
    <row r="630">
      <c r="B630" s="4"/>
    </row>
    <row r="631">
      <c r="B631" s="4"/>
    </row>
    <row r="632">
      <c r="B632" s="4"/>
    </row>
    <row r="633">
      <c r="B633" s="4"/>
    </row>
    <row r="634">
      <c r="B634" s="4"/>
    </row>
    <row r="635">
      <c r="B635" s="4"/>
    </row>
    <row r="636">
      <c r="B636" s="4"/>
    </row>
    <row r="637">
      <c r="B637" s="4"/>
    </row>
    <row r="638">
      <c r="B638" s="4"/>
    </row>
    <row r="639">
      <c r="B639" s="4"/>
    </row>
    <row r="640">
      <c r="B640" s="4"/>
    </row>
    <row r="641">
      <c r="B641" s="4"/>
    </row>
    <row r="642">
      <c r="B642" s="4"/>
    </row>
    <row r="643">
      <c r="B643" s="4"/>
    </row>
    <row r="644">
      <c r="B644" s="4"/>
    </row>
    <row r="645">
      <c r="B645" s="4"/>
    </row>
    <row r="646">
      <c r="B646" s="4"/>
    </row>
    <row r="647">
      <c r="B647" s="4"/>
    </row>
    <row r="648">
      <c r="B648" s="4"/>
    </row>
    <row r="649">
      <c r="B649" s="4"/>
    </row>
    <row r="650">
      <c r="B650" s="4"/>
    </row>
    <row r="651">
      <c r="B651" s="4"/>
    </row>
    <row r="652">
      <c r="B652" s="4"/>
    </row>
    <row r="653">
      <c r="B653" s="4"/>
    </row>
    <row r="654">
      <c r="B654" s="4"/>
    </row>
    <row r="655">
      <c r="B655" s="4"/>
    </row>
    <row r="656">
      <c r="B656" s="4"/>
    </row>
    <row r="657">
      <c r="B657" s="4"/>
    </row>
    <row r="658">
      <c r="B658" s="4"/>
    </row>
    <row r="659">
      <c r="B659" s="4"/>
    </row>
    <row r="660">
      <c r="B660" s="4"/>
    </row>
    <row r="661">
      <c r="B661" s="4"/>
    </row>
    <row r="662">
      <c r="B662" s="4"/>
    </row>
    <row r="663">
      <c r="B663" s="4"/>
    </row>
    <row r="664">
      <c r="B664" s="4"/>
    </row>
    <row r="665">
      <c r="B665" s="4"/>
    </row>
    <row r="666">
      <c r="B666" s="4"/>
    </row>
    <row r="667">
      <c r="B667" s="4"/>
    </row>
    <row r="668">
      <c r="B668" s="4"/>
    </row>
    <row r="669">
      <c r="B669" s="4"/>
    </row>
    <row r="670">
      <c r="B670" s="4"/>
    </row>
    <row r="671">
      <c r="B671" s="4"/>
    </row>
    <row r="672">
      <c r="B672" s="4"/>
    </row>
    <row r="673">
      <c r="B673" s="4"/>
    </row>
    <row r="674">
      <c r="B674" s="4"/>
    </row>
    <row r="675">
      <c r="B675" s="4"/>
    </row>
    <row r="676">
      <c r="B676" s="4"/>
    </row>
    <row r="677">
      <c r="B677" s="4"/>
    </row>
    <row r="678">
      <c r="B678" s="4"/>
    </row>
    <row r="679">
      <c r="B679" s="4"/>
    </row>
    <row r="680">
      <c r="B680" s="4"/>
    </row>
    <row r="681">
      <c r="B681" s="4"/>
    </row>
    <row r="682">
      <c r="B682" s="4"/>
    </row>
    <row r="683">
      <c r="B683" s="4"/>
    </row>
    <row r="684">
      <c r="B684" s="4"/>
    </row>
    <row r="685">
      <c r="B685" s="4"/>
    </row>
    <row r="686">
      <c r="B686" s="4"/>
    </row>
    <row r="687">
      <c r="B687" s="4"/>
    </row>
    <row r="688">
      <c r="B688" s="4"/>
    </row>
    <row r="689">
      <c r="B689" s="4"/>
    </row>
    <row r="690">
      <c r="B690" s="4"/>
    </row>
    <row r="691">
      <c r="B691" s="4"/>
    </row>
    <row r="692">
      <c r="B692" s="4"/>
    </row>
    <row r="693">
      <c r="B693" s="4"/>
    </row>
    <row r="694">
      <c r="B694" s="4"/>
    </row>
    <row r="695">
      <c r="B695" s="4"/>
    </row>
    <row r="696">
      <c r="B696" s="4"/>
    </row>
    <row r="697">
      <c r="B697" s="4"/>
    </row>
    <row r="698">
      <c r="B698" s="4"/>
    </row>
    <row r="699">
      <c r="B699" s="4"/>
    </row>
    <row r="700">
      <c r="B700" s="4"/>
    </row>
    <row r="701">
      <c r="B701" s="4"/>
    </row>
    <row r="702">
      <c r="B702" s="4"/>
    </row>
    <row r="703">
      <c r="B703" s="4"/>
    </row>
    <row r="704">
      <c r="B704" s="4"/>
    </row>
    <row r="705">
      <c r="B705" s="4"/>
    </row>
    <row r="706">
      <c r="B706" s="4"/>
    </row>
    <row r="707">
      <c r="B707" s="4"/>
    </row>
    <row r="708">
      <c r="B708" s="4"/>
    </row>
    <row r="709">
      <c r="B709" s="4"/>
    </row>
    <row r="710">
      <c r="B710" s="4"/>
    </row>
    <row r="711">
      <c r="B711" s="4"/>
    </row>
    <row r="712">
      <c r="B712" s="4"/>
    </row>
    <row r="713">
      <c r="B713" s="4"/>
    </row>
    <row r="714">
      <c r="B714" s="4"/>
    </row>
    <row r="715">
      <c r="B715" s="4"/>
    </row>
    <row r="716">
      <c r="B716" s="4"/>
    </row>
    <row r="717">
      <c r="B717" s="4"/>
    </row>
    <row r="718">
      <c r="B718" s="4"/>
    </row>
    <row r="719">
      <c r="B719" s="4"/>
    </row>
    <row r="720">
      <c r="B720" s="4"/>
    </row>
    <row r="721">
      <c r="B721" s="4"/>
    </row>
    <row r="722">
      <c r="B722" s="4"/>
    </row>
    <row r="723">
      <c r="B723" s="4"/>
    </row>
    <row r="724">
      <c r="B724" s="4"/>
    </row>
    <row r="725">
      <c r="B725" s="4"/>
    </row>
    <row r="726">
      <c r="B726" s="4"/>
    </row>
    <row r="727">
      <c r="B727" s="4"/>
    </row>
    <row r="728">
      <c r="B728" s="4"/>
    </row>
    <row r="729">
      <c r="B729" s="4"/>
    </row>
    <row r="730">
      <c r="B730" s="4"/>
    </row>
    <row r="731">
      <c r="B731" s="4"/>
    </row>
    <row r="732">
      <c r="B732" s="4"/>
    </row>
    <row r="733">
      <c r="B733" s="4"/>
    </row>
    <row r="734">
      <c r="B734" s="4"/>
    </row>
    <row r="735">
      <c r="B735" s="4"/>
    </row>
    <row r="736">
      <c r="B736" s="4"/>
    </row>
    <row r="737">
      <c r="B737" s="4"/>
    </row>
    <row r="738">
      <c r="B738" s="4"/>
    </row>
    <row r="739">
      <c r="B739" s="4"/>
    </row>
    <row r="740">
      <c r="B740" s="4"/>
    </row>
    <row r="741">
      <c r="B741" s="4"/>
    </row>
    <row r="742">
      <c r="B742" s="4"/>
    </row>
    <row r="743">
      <c r="B743" s="4"/>
    </row>
    <row r="744">
      <c r="B744" s="4"/>
    </row>
    <row r="745">
      <c r="B745" s="4"/>
    </row>
    <row r="746">
      <c r="B746" s="4"/>
    </row>
    <row r="747">
      <c r="B747" s="4"/>
    </row>
    <row r="748">
      <c r="B748" s="4"/>
    </row>
    <row r="749">
      <c r="B749" s="4"/>
    </row>
    <row r="750">
      <c r="B750" s="4"/>
    </row>
    <row r="751">
      <c r="B751" s="4"/>
    </row>
    <row r="752">
      <c r="B752" s="4"/>
    </row>
    <row r="753">
      <c r="B753" s="4"/>
    </row>
    <row r="754">
      <c r="B754" s="4"/>
    </row>
    <row r="755">
      <c r="B755" s="4"/>
    </row>
    <row r="756">
      <c r="B756" s="4"/>
    </row>
    <row r="757">
      <c r="B757" s="4"/>
    </row>
    <row r="758">
      <c r="B758" s="4"/>
    </row>
    <row r="759">
      <c r="B759" s="4"/>
    </row>
    <row r="760">
      <c r="B760" s="4"/>
    </row>
    <row r="761">
      <c r="B761" s="4"/>
    </row>
    <row r="762">
      <c r="B762" s="4"/>
    </row>
    <row r="763">
      <c r="B763" s="4"/>
    </row>
    <row r="764">
      <c r="B764" s="4"/>
    </row>
    <row r="765">
      <c r="B765" s="4"/>
    </row>
    <row r="766">
      <c r="B766" s="4"/>
    </row>
    <row r="767">
      <c r="B767" s="4"/>
    </row>
    <row r="768">
      <c r="B768" s="4"/>
    </row>
    <row r="769">
      <c r="B769" s="4"/>
    </row>
    <row r="770">
      <c r="B770" s="4"/>
    </row>
    <row r="771">
      <c r="B771" s="4"/>
    </row>
    <row r="772">
      <c r="B772" s="4"/>
    </row>
    <row r="773">
      <c r="B773" s="4"/>
    </row>
    <row r="774">
      <c r="B774" s="4"/>
    </row>
    <row r="775">
      <c r="B775" s="4"/>
    </row>
    <row r="776">
      <c r="B776" s="4"/>
    </row>
    <row r="777">
      <c r="B777" s="4"/>
    </row>
    <row r="778">
      <c r="B778" s="4"/>
    </row>
    <row r="779">
      <c r="B779" s="4"/>
    </row>
    <row r="780">
      <c r="B780" s="4"/>
    </row>
    <row r="781">
      <c r="B781" s="4"/>
    </row>
    <row r="782">
      <c r="B782" s="4"/>
    </row>
    <row r="783">
      <c r="B783" s="4"/>
    </row>
    <row r="784">
      <c r="B784" s="4"/>
    </row>
    <row r="785">
      <c r="B785" s="4"/>
    </row>
    <row r="786">
      <c r="B786" s="4"/>
    </row>
    <row r="787">
      <c r="B787" s="4"/>
    </row>
    <row r="788">
      <c r="B788" s="4"/>
    </row>
    <row r="789">
      <c r="B789" s="4"/>
    </row>
    <row r="790">
      <c r="B790" s="4"/>
    </row>
    <row r="791">
      <c r="B791" s="4"/>
    </row>
    <row r="792">
      <c r="B792" s="4"/>
    </row>
    <row r="793">
      <c r="B793" s="4"/>
    </row>
    <row r="794">
      <c r="B794" s="4"/>
    </row>
    <row r="795">
      <c r="B795" s="4"/>
    </row>
    <row r="796">
      <c r="B796" s="4"/>
    </row>
    <row r="797">
      <c r="B797" s="4"/>
    </row>
    <row r="798">
      <c r="B798" s="4"/>
    </row>
    <row r="799">
      <c r="B799" s="4"/>
    </row>
    <row r="800">
      <c r="B800" s="4"/>
    </row>
    <row r="801">
      <c r="B801" s="4"/>
    </row>
    <row r="802">
      <c r="B802" s="4"/>
    </row>
    <row r="803">
      <c r="B803" s="4"/>
    </row>
    <row r="804">
      <c r="B804" s="4"/>
    </row>
    <row r="805">
      <c r="B805" s="4"/>
    </row>
    <row r="806">
      <c r="B806" s="4"/>
    </row>
    <row r="807">
      <c r="B807" s="4"/>
    </row>
    <row r="808">
      <c r="B808" s="4"/>
    </row>
    <row r="809">
      <c r="B809" s="4"/>
    </row>
    <row r="810">
      <c r="B810" s="4"/>
    </row>
    <row r="811">
      <c r="B811" s="4"/>
    </row>
    <row r="812">
      <c r="B812" s="4"/>
    </row>
    <row r="813">
      <c r="B813" s="4"/>
    </row>
    <row r="814">
      <c r="B814" s="4"/>
    </row>
    <row r="815">
      <c r="B815" s="4"/>
    </row>
    <row r="816">
      <c r="B816" s="4"/>
    </row>
    <row r="817">
      <c r="B817" s="4"/>
    </row>
    <row r="818">
      <c r="B818" s="4"/>
    </row>
    <row r="819">
      <c r="B819" s="4"/>
    </row>
    <row r="820">
      <c r="B820" s="4"/>
    </row>
    <row r="821">
      <c r="B821" s="4"/>
    </row>
    <row r="822">
      <c r="B822" s="4"/>
    </row>
    <row r="823">
      <c r="B823" s="4"/>
    </row>
    <row r="824">
      <c r="B824" s="4"/>
    </row>
    <row r="825">
      <c r="B825" s="4"/>
    </row>
    <row r="826">
      <c r="B826" s="4"/>
    </row>
    <row r="827">
      <c r="B827" s="4"/>
    </row>
    <row r="828">
      <c r="B828" s="4"/>
    </row>
    <row r="829">
      <c r="B829" s="4"/>
    </row>
    <row r="830">
      <c r="B830" s="4"/>
    </row>
    <row r="831">
      <c r="B831" s="4"/>
    </row>
    <row r="832">
      <c r="B832" s="4"/>
    </row>
    <row r="833">
      <c r="B833" s="4"/>
    </row>
    <row r="834">
      <c r="B834" s="4"/>
    </row>
    <row r="835">
      <c r="B835" s="4"/>
    </row>
    <row r="836">
      <c r="B836" s="4"/>
    </row>
    <row r="837">
      <c r="B837" s="4"/>
    </row>
    <row r="838">
      <c r="B838" s="4"/>
    </row>
    <row r="839">
      <c r="B839" s="4"/>
    </row>
    <row r="840">
      <c r="B840" s="4"/>
    </row>
    <row r="841">
      <c r="B841" s="4"/>
    </row>
    <row r="842">
      <c r="B842" s="4"/>
    </row>
    <row r="843">
      <c r="B843" s="4"/>
    </row>
    <row r="844">
      <c r="B844" s="4"/>
    </row>
    <row r="845">
      <c r="B845" s="4"/>
    </row>
    <row r="846">
      <c r="B846" s="4"/>
    </row>
    <row r="847">
      <c r="B847" s="4"/>
    </row>
    <row r="848">
      <c r="B848" s="4"/>
    </row>
    <row r="849">
      <c r="B849" s="4"/>
    </row>
    <row r="850">
      <c r="B850" s="4"/>
    </row>
    <row r="851">
      <c r="B851" s="4"/>
    </row>
    <row r="852">
      <c r="B852" s="4"/>
    </row>
    <row r="853">
      <c r="B853" s="4"/>
    </row>
    <row r="854">
      <c r="B854" s="4"/>
    </row>
    <row r="855">
      <c r="B855" s="4"/>
    </row>
    <row r="856">
      <c r="B856" s="4"/>
    </row>
    <row r="857">
      <c r="B857" s="4"/>
    </row>
    <row r="858">
      <c r="B858" s="4"/>
    </row>
    <row r="859">
      <c r="B859" s="4"/>
    </row>
    <row r="860">
      <c r="B860" s="4"/>
    </row>
    <row r="861">
      <c r="B861" s="4"/>
    </row>
    <row r="862">
      <c r="B862" s="4"/>
    </row>
    <row r="863">
      <c r="B863" s="4"/>
    </row>
    <row r="864">
      <c r="B864" s="4"/>
    </row>
    <row r="865">
      <c r="B865" s="4"/>
    </row>
    <row r="866">
      <c r="B866" s="4"/>
    </row>
    <row r="867">
      <c r="B867" s="4"/>
    </row>
    <row r="868">
      <c r="B868" s="4"/>
    </row>
    <row r="869">
      <c r="B869" s="4"/>
    </row>
    <row r="870">
      <c r="B870" s="4"/>
    </row>
    <row r="871">
      <c r="B871" s="4"/>
    </row>
    <row r="872">
      <c r="B872" s="4"/>
    </row>
    <row r="873">
      <c r="B873" s="4"/>
    </row>
    <row r="874">
      <c r="B874" s="4"/>
    </row>
    <row r="875">
      <c r="B875" s="4"/>
    </row>
    <row r="876">
      <c r="B876" s="4"/>
    </row>
    <row r="877">
      <c r="B877" s="4"/>
    </row>
    <row r="878">
      <c r="B878" s="4"/>
    </row>
    <row r="879">
      <c r="B879" s="4"/>
    </row>
    <row r="880">
      <c r="B880" s="4"/>
    </row>
    <row r="881">
      <c r="B881" s="4"/>
    </row>
    <row r="882">
      <c r="B882" s="4"/>
    </row>
    <row r="883">
      <c r="B883" s="4"/>
    </row>
    <row r="884">
      <c r="B884" s="4"/>
    </row>
    <row r="885">
      <c r="B885" s="4"/>
    </row>
    <row r="886">
      <c r="B886" s="4"/>
    </row>
    <row r="887">
      <c r="B887" s="4"/>
    </row>
    <row r="888">
      <c r="B888" s="4"/>
    </row>
    <row r="889">
      <c r="B889" s="4"/>
    </row>
    <row r="890">
      <c r="B890" s="4"/>
    </row>
    <row r="891">
      <c r="B891" s="4"/>
    </row>
    <row r="892">
      <c r="B892" s="4"/>
    </row>
    <row r="893">
      <c r="B893" s="4"/>
    </row>
    <row r="894">
      <c r="B894" s="4"/>
    </row>
    <row r="895">
      <c r="B895" s="4"/>
    </row>
    <row r="896">
      <c r="B896" s="4"/>
    </row>
    <row r="897">
      <c r="B897" s="4"/>
    </row>
    <row r="898">
      <c r="B898" s="4"/>
    </row>
    <row r="899">
      <c r="B899" s="4"/>
    </row>
    <row r="900">
      <c r="B900" s="4"/>
    </row>
    <row r="901">
      <c r="B901" s="4"/>
    </row>
    <row r="902">
      <c r="B902" s="4"/>
    </row>
    <row r="903">
      <c r="B903" s="4"/>
    </row>
    <row r="904">
      <c r="B904" s="4"/>
    </row>
    <row r="905">
      <c r="B905" s="4"/>
    </row>
    <row r="906">
      <c r="B906" s="4"/>
    </row>
    <row r="907">
      <c r="B907" s="4"/>
    </row>
    <row r="908">
      <c r="B908" s="4"/>
    </row>
    <row r="909">
      <c r="B909" s="4"/>
    </row>
    <row r="910">
      <c r="B910" s="4"/>
    </row>
    <row r="911">
      <c r="B911" s="4"/>
    </row>
    <row r="912">
      <c r="B912" s="4"/>
    </row>
    <row r="913">
      <c r="B913" s="4"/>
    </row>
    <row r="914">
      <c r="B914" s="4"/>
    </row>
    <row r="915">
      <c r="B915" s="4"/>
    </row>
    <row r="916">
      <c r="B916" s="4"/>
    </row>
    <row r="917">
      <c r="B917" s="4"/>
    </row>
    <row r="918">
      <c r="B918" s="4"/>
    </row>
    <row r="919">
      <c r="B919" s="4"/>
    </row>
    <row r="920">
      <c r="B920" s="4"/>
    </row>
    <row r="921">
      <c r="B921" s="4"/>
    </row>
    <row r="922">
      <c r="B922" s="4"/>
    </row>
    <row r="923">
      <c r="B923" s="4"/>
    </row>
    <row r="924">
      <c r="B924" s="4"/>
    </row>
    <row r="925">
      <c r="B925" s="4"/>
    </row>
    <row r="926">
      <c r="B926" s="4"/>
    </row>
    <row r="927">
      <c r="B927" s="4"/>
    </row>
    <row r="928">
      <c r="B928" s="4"/>
    </row>
    <row r="929">
      <c r="B929" s="4"/>
    </row>
    <row r="930">
      <c r="B930" s="4"/>
    </row>
    <row r="931">
      <c r="B931" s="4"/>
    </row>
    <row r="932">
      <c r="B932" s="4"/>
    </row>
    <row r="933">
      <c r="B933" s="4"/>
    </row>
    <row r="934">
      <c r="B934" s="4"/>
    </row>
    <row r="935">
      <c r="B935" s="4"/>
    </row>
    <row r="936">
      <c r="B936" s="4"/>
    </row>
    <row r="937">
      <c r="B937" s="4"/>
    </row>
    <row r="938">
      <c r="B938" s="4"/>
    </row>
    <row r="939">
      <c r="B939" s="4"/>
    </row>
    <row r="940">
      <c r="B940" s="4"/>
    </row>
    <row r="941">
      <c r="B941" s="4"/>
    </row>
    <row r="942">
      <c r="B942" s="4"/>
    </row>
    <row r="943">
      <c r="B943" s="4"/>
    </row>
    <row r="944">
      <c r="B944" s="4"/>
    </row>
    <row r="945">
      <c r="B945" s="4"/>
    </row>
    <row r="946">
      <c r="B946" s="4"/>
    </row>
    <row r="947">
      <c r="B947" s="4"/>
    </row>
    <row r="948">
      <c r="B948" s="4"/>
    </row>
    <row r="949">
      <c r="B949" s="4"/>
    </row>
    <row r="950">
      <c r="B950" s="4"/>
    </row>
    <row r="951">
      <c r="B951" s="4"/>
    </row>
    <row r="952">
      <c r="B952" s="4"/>
    </row>
    <row r="953">
      <c r="B953" s="4"/>
    </row>
    <row r="954">
      <c r="B954" s="4"/>
    </row>
    <row r="955">
      <c r="B955" s="4"/>
    </row>
    <row r="956">
      <c r="B956" s="4"/>
    </row>
    <row r="957">
      <c r="B957" s="4"/>
    </row>
    <row r="958">
      <c r="B958" s="4"/>
    </row>
    <row r="959">
      <c r="B959" s="4"/>
    </row>
    <row r="960">
      <c r="B960" s="4"/>
    </row>
    <row r="961">
      <c r="B961" s="4"/>
    </row>
    <row r="962">
      <c r="B962" s="4"/>
    </row>
    <row r="963">
      <c r="B963" s="4"/>
    </row>
    <row r="964">
      <c r="B964" s="4"/>
    </row>
    <row r="965">
      <c r="B965" s="4"/>
    </row>
    <row r="966">
      <c r="B966" s="4"/>
    </row>
    <row r="967">
      <c r="B967" s="4"/>
    </row>
    <row r="968">
      <c r="B968" s="4"/>
    </row>
    <row r="969">
      <c r="B969" s="4"/>
    </row>
    <row r="970">
      <c r="B970" s="4"/>
    </row>
    <row r="971">
      <c r="B971" s="4"/>
    </row>
    <row r="972">
      <c r="B972" s="4"/>
    </row>
    <row r="973">
      <c r="B973" s="4"/>
    </row>
    <row r="974">
      <c r="B974" s="4"/>
    </row>
    <row r="975">
      <c r="B975" s="4"/>
    </row>
    <row r="976">
      <c r="B976" s="4"/>
    </row>
    <row r="977">
      <c r="B977" s="4"/>
    </row>
    <row r="978">
      <c r="B978" s="4"/>
    </row>
    <row r="979">
      <c r="B979" s="4"/>
    </row>
    <row r="980">
      <c r="B980" s="4"/>
    </row>
    <row r="981">
      <c r="B981" s="4"/>
    </row>
    <row r="982">
      <c r="B982" s="4"/>
    </row>
    <row r="983">
      <c r="B983" s="4"/>
    </row>
    <row r="984">
      <c r="B984" s="4"/>
    </row>
    <row r="985">
      <c r="B985" s="4"/>
    </row>
    <row r="986">
      <c r="B986" s="4"/>
    </row>
    <row r="987">
      <c r="B987" s="4"/>
    </row>
    <row r="988">
      <c r="B988" s="4"/>
    </row>
    <row r="989">
      <c r="B989" s="4"/>
    </row>
    <row r="990">
      <c r="B990" s="4"/>
    </row>
    <row r="991">
      <c r="B991" s="4"/>
    </row>
    <row r="992">
      <c r="B992" s="4"/>
    </row>
    <row r="993">
      <c r="B993" s="4"/>
    </row>
    <row r="994">
      <c r="B994" s="4"/>
    </row>
    <row r="995">
      <c r="B995" s="4"/>
    </row>
    <row r="996">
      <c r="B996" s="4"/>
    </row>
    <row r="997">
      <c r="B997" s="4"/>
    </row>
    <row r="998">
      <c r="B998" s="4"/>
    </row>
    <row r="999">
      <c r="B999" s="4"/>
    </row>
    <row r="1000">
      <c r="B1000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5.25"/>
  </cols>
  <sheetData>
    <row r="1">
      <c r="A1" s="2" t="s">
        <v>44</v>
      </c>
      <c r="B1" s="2" t="s">
        <v>0</v>
      </c>
      <c r="C1" s="2" t="s">
        <v>1</v>
      </c>
      <c r="D1" s="3" t="s">
        <v>2</v>
      </c>
      <c r="E1" s="2" t="s">
        <v>3</v>
      </c>
      <c r="F1" s="3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3" t="s">
        <v>10</v>
      </c>
      <c r="M1" s="3" t="s">
        <v>11</v>
      </c>
      <c r="N1" s="3" t="s">
        <v>12</v>
      </c>
      <c r="O1" s="2" t="s">
        <v>13</v>
      </c>
      <c r="P1" s="3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  <c r="AG1" s="2" t="s">
        <v>31</v>
      </c>
      <c r="AH1" s="2" t="s">
        <v>32</v>
      </c>
      <c r="AI1" s="2" t="s">
        <v>33</v>
      </c>
      <c r="AJ1" s="2" t="s">
        <v>34</v>
      </c>
      <c r="AK1" s="2" t="s">
        <v>35</v>
      </c>
      <c r="AL1" s="2" t="s">
        <v>36</v>
      </c>
      <c r="AM1" s="2" t="s">
        <v>37</v>
      </c>
      <c r="AN1" s="2" t="s">
        <v>38</v>
      </c>
      <c r="AO1" s="2" t="s">
        <v>39</v>
      </c>
      <c r="AP1" s="2" t="s">
        <v>40</v>
      </c>
      <c r="AQ1" s="2" t="s">
        <v>41</v>
      </c>
      <c r="AR1" s="2" t="s">
        <v>42</v>
      </c>
      <c r="AS1" s="2" t="s">
        <v>43</v>
      </c>
      <c r="AT1" s="5" t="s">
        <v>43</v>
      </c>
    </row>
    <row r="2">
      <c r="A2" s="1">
        <v>38544.0</v>
      </c>
      <c r="B2" s="3">
        <v>28232.0</v>
      </c>
      <c r="C2" s="3">
        <v>30511.0</v>
      </c>
      <c r="D2" s="3">
        <v>33230.0</v>
      </c>
      <c r="E2" s="3">
        <v>35538.0</v>
      </c>
      <c r="F2" s="3">
        <v>38506.0</v>
      </c>
      <c r="G2" s="4"/>
      <c r="H2" s="4"/>
      <c r="I2" s="3"/>
      <c r="J2" s="3">
        <v>40852.0</v>
      </c>
      <c r="K2" s="4"/>
      <c r="L2" s="4"/>
      <c r="M2" s="4"/>
      <c r="N2" s="4"/>
      <c r="O2" s="3">
        <v>43164.0</v>
      </c>
      <c r="P2" s="3">
        <v>46164.0</v>
      </c>
      <c r="Q2" s="3">
        <v>46918.0</v>
      </c>
      <c r="R2" s="4"/>
      <c r="S2" s="3">
        <v>48628.0</v>
      </c>
      <c r="T2" s="3">
        <v>49812.0</v>
      </c>
      <c r="U2" s="3">
        <v>50787.0</v>
      </c>
      <c r="V2" s="3">
        <v>52306.0</v>
      </c>
      <c r="W2" s="3">
        <v>53509.0</v>
      </c>
      <c r="X2" s="3">
        <v>56199.0</v>
      </c>
      <c r="Y2" s="3">
        <v>58376.0</v>
      </c>
      <c r="Z2" s="3">
        <v>60255.0</v>
      </c>
      <c r="AA2" s="3">
        <v>62174.0</v>
      </c>
      <c r="AB2" s="3">
        <v>65111.0</v>
      </c>
      <c r="AC2" s="3">
        <v>67181.0</v>
      </c>
      <c r="AD2" s="3">
        <v>70241.0</v>
      </c>
      <c r="AE2" s="3">
        <v>72438.0</v>
      </c>
      <c r="AF2" s="3">
        <v>73622.0</v>
      </c>
      <c r="AG2" s="3">
        <v>75623.0</v>
      </c>
      <c r="AH2" s="3">
        <v>76809.0</v>
      </c>
      <c r="AI2" s="3">
        <v>79627.0</v>
      </c>
      <c r="AJ2" s="3">
        <v>83222.0</v>
      </c>
      <c r="AK2" s="3">
        <v>85363.0</v>
      </c>
      <c r="AL2" s="3">
        <v>86763.0</v>
      </c>
      <c r="AM2" s="3">
        <v>89576.0</v>
      </c>
      <c r="AN2" s="3">
        <v>90993.0</v>
      </c>
      <c r="AO2" s="3">
        <v>92483.0</v>
      </c>
      <c r="AP2" s="3">
        <v>97639.0</v>
      </c>
      <c r="AQ2" s="3">
        <v>101602.0</v>
      </c>
      <c r="AR2" s="3">
        <v>104805.0</v>
      </c>
      <c r="AS2" s="3">
        <v>108040.0</v>
      </c>
      <c r="AT2" s="4">
        <v>108040.0</v>
      </c>
    </row>
    <row r="3">
      <c r="A3" s="1">
        <v>38545.0</v>
      </c>
      <c r="B3" s="3">
        <v>29930.0</v>
      </c>
      <c r="C3" s="3">
        <v>32175.0</v>
      </c>
      <c r="D3" s="4"/>
      <c r="E3" s="3">
        <v>34588.0</v>
      </c>
      <c r="F3" s="3">
        <v>37182.0</v>
      </c>
      <c r="G3" s="4"/>
      <c r="H3" s="4"/>
      <c r="I3" s="3"/>
      <c r="J3" s="3">
        <v>39970.0</v>
      </c>
      <c r="K3" s="3">
        <v>42968.0</v>
      </c>
      <c r="L3" s="4"/>
      <c r="M3" s="4"/>
      <c r="N3" s="4"/>
      <c r="O3" s="3">
        <v>46191.0</v>
      </c>
      <c r="P3" s="3">
        <v>49655.0</v>
      </c>
      <c r="Q3" s="4"/>
      <c r="R3" s="4"/>
      <c r="S3" s="3">
        <v>52386.0</v>
      </c>
      <c r="T3" s="3">
        <v>52267.0</v>
      </c>
      <c r="U3" s="3">
        <v>58307.0</v>
      </c>
      <c r="V3" s="4"/>
      <c r="W3" s="3">
        <v>58307.0</v>
      </c>
      <c r="X3" s="3">
        <v>61514.0</v>
      </c>
      <c r="Y3" s="3">
        <v>64897.0</v>
      </c>
      <c r="Z3" s="3">
        <v>68466.0</v>
      </c>
      <c r="AA3" s="4"/>
      <c r="AB3" s="3">
        <v>68466.0</v>
      </c>
      <c r="AC3" s="3">
        <v>71205.0</v>
      </c>
      <c r="AD3" s="3">
        <v>74053.0</v>
      </c>
      <c r="AE3" s="3">
        <v>77015.0</v>
      </c>
      <c r="AF3" s="3">
        <v>80096.0</v>
      </c>
      <c r="AG3" s="3">
        <v>80096.0</v>
      </c>
      <c r="AH3" s="3">
        <v>80096.0</v>
      </c>
      <c r="AI3" s="3">
        <v>83300.0</v>
      </c>
      <c r="AJ3" s="3">
        <v>86632.0</v>
      </c>
      <c r="AK3" s="3">
        <v>90097.0</v>
      </c>
      <c r="AL3" s="3">
        <v>90097.0</v>
      </c>
      <c r="AM3" s="3">
        <v>93701.0</v>
      </c>
      <c r="AN3" s="3">
        <v>93701.0</v>
      </c>
      <c r="AO3" s="3">
        <v>97449.0</v>
      </c>
      <c r="AP3" s="3">
        <v>101347.0</v>
      </c>
      <c r="AQ3" s="3">
        <v>105401.0</v>
      </c>
      <c r="AR3" s="3">
        <v>109617.0</v>
      </c>
      <c r="AS3" s="3">
        <v>114002.0</v>
      </c>
      <c r="AT3" s="4">
        <v>114002.0</v>
      </c>
    </row>
    <row r="4">
      <c r="A4" s="1">
        <v>38899.0</v>
      </c>
      <c r="B4" s="3">
        <v>31052.0</v>
      </c>
      <c r="C4" s="3">
        <v>33382.0</v>
      </c>
      <c r="D4" s="4"/>
      <c r="E4" s="3">
        <v>35885.0</v>
      </c>
      <c r="F4" s="3">
        <v>38576.0</v>
      </c>
      <c r="G4" s="4"/>
      <c r="H4" s="4"/>
      <c r="I4" s="3"/>
      <c r="J4" s="3">
        <v>41469.0</v>
      </c>
      <c r="K4" s="3">
        <v>44579.0</v>
      </c>
      <c r="L4" s="4"/>
      <c r="M4" s="4"/>
      <c r="N4" s="4"/>
      <c r="O4" s="3">
        <v>47923.0</v>
      </c>
      <c r="P4" s="3">
        <v>51527.0</v>
      </c>
      <c r="Q4" s="4"/>
      <c r="R4" s="4"/>
      <c r="S4" s="3">
        <v>54350.0</v>
      </c>
      <c r="T4" s="3">
        <v>57340.0</v>
      </c>
      <c r="U4" s="3">
        <v>60494.0</v>
      </c>
      <c r="V4" s="4"/>
      <c r="W4" s="3">
        <v>60494.0</v>
      </c>
      <c r="X4" s="3">
        <v>63821.0</v>
      </c>
      <c r="Y4" s="3">
        <v>67331.0</v>
      </c>
      <c r="Z4" s="3">
        <v>71033.0</v>
      </c>
      <c r="AA4" s="4"/>
      <c r="AB4" s="3">
        <v>71033.0</v>
      </c>
      <c r="AC4" s="3">
        <v>73875.0</v>
      </c>
      <c r="AD4" s="3">
        <v>76830.0</v>
      </c>
      <c r="AE4" s="3">
        <v>79903.0</v>
      </c>
      <c r="AF4" s="3">
        <v>93100.0</v>
      </c>
      <c r="AG4" s="3">
        <v>83100.0</v>
      </c>
      <c r="AH4" s="3">
        <v>86424.0</v>
      </c>
      <c r="AI4" s="3">
        <v>89881.0</v>
      </c>
      <c r="AJ4" s="3">
        <v>93476.0</v>
      </c>
      <c r="AK4" s="3">
        <v>97215.0</v>
      </c>
      <c r="AL4" s="3">
        <v>101103.0</v>
      </c>
      <c r="AM4" s="3">
        <v>105148.0</v>
      </c>
      <c r="AN4" s="3">
        <v>109354.0</v>
      </c>
      <c r="AO4" s="3">
        <v>113728.0</v>
      </c>
      <c r="AP4" s="3">
        <v>118277.0</v>
      </c>
      <c r="AQ4" s="4"/>
      <c r="AR4" s="4"/>
      <c r="AS4" s="4"/>
      <c r="AT4" s="4"/>
    </row>
    <row r="5">
      <c r="A5" s="1">
        <v>39264.0</v>
      </c>
      <c r="B5" s="3">
        <v>32139.0</v>
      </c>
      <c r="C5" s="3">
        <v>34550.0</v>
      </c>
      <c r="D5" s="4"/>
      <c r="E5" s="3">
        <v>37141.0</v>
      </c>
      <c r="F5" s="3">
        <v>39926.0</v>
      </c>
      <c r="G5" s="4"/>
      <c r="H5" s="4"/>
      <c r="I5" s="3"/>
      <c r="J5" s="3">
        <v>42920.0</v>
      </c>
      <c r="K5" s="3">
        <v>46140.0</v>
      </c>
      <c r="L5" s="4"/>
      <c r="M5" s="4"/>
      <c r="N5" s="4"/>
      <c r="O5" s="3">
        <v>49600.0</v>
      </c>
      <c r="P5" s="3">
        <v>53320.0</v>
      </c>
      <c r="Q5" s="4"/>
      <c r="R5" s="4"/>
      <c r="S5" s="3">
        <v>56253.0</v>
      </c>
      <c r="T5" s="3">
        <v>59346.0</v>
      </c>
      <c r="U5" s="3">
        <v>62611.0</v>
      </c>
      <c r="V5" s="4"/>
      <c r="W5" s="3">
        <v>62611.0</v>
      </c>
      <c r="X5" s="3">
        <v>66055.0</v>
      </c>
      <c r="Y5" s="3">
        <v>69687.0</v>
      </c>
      <c r="Z5" s="3">
        <v>73520.0</v>
      </c>
      <c r="AA5" s="4"/>
      <c r="AB5" s="3">
        <v>76461.0</v>
      </c>
      <c r="AC5" s="3">
        <v>79519.0</v>
      </c>
      <c r="AD5" s="3">
        <v>82700.0</v>
      </c>
      <c r="AE5" s="3">
        <v>86008.0</v>
      </c>
      <c r="AF5" s="4"/>
      <c r="AG5" s="3">
        <v>86008.0</v>
      </c>
      <c r="AH5" s="3">
        <v>89449.0</v>
      </c>
      <c r="AI5" s="3">
        <v>93027.0</v>
      </c>
      <c r="AJ5" s="3">
        <v>96747.0</v>
      </c>
      <c r="AK5" s="3">
        <v>100617.0</v>
      </c>
      <c r="AL5" s="3">
        <v>104642.0</v>
      </c>
      <c r="AM5" s="3">
        <v>108828.0</v>
      </c>
      <c r="AN5" s="3">
        <v>113181.0</v>
      </c>
      <c r="AO5" s="3">
        <v>117708.0</v>
      </c>
      <c r="AP5" s="3">
        <v>122417.0</v>
      </c>
      <c r="AQ5" s="4"/>
      <c r="AR5" s="4"/>
      <c r="AS5" s="4"/>
      <c r="AT5" s="4"/>
    </row>
    <row r="6">
      <c r="A6" s="1">
        <v>39995.0</v>
      </c>
      <c r="B6" s="3">
        <v>33425.0</v>
      </c>
      <c r="C6" s="3">
        <v>35932.0</v>
      </c>
      <c r="D6" s="4"/>
      <c r="E6" s="3">
        <v>38627.0</v>
      </c>
      <c r="F6" s="3">
        <v>41523.0</v>
      </c>
      <c r="G6" s="4"/>
      <c r="H6" s="4"/>
      <c r="I6" s="3"/>
      <c r="J6" s="3">
        <v>44637.0</v>
      </c>
      <c r="K6" s="3">
        <v>47986.0</v>
      </c>
      <c r="L6" s="4"/>
      <c r="M6" s="4"/>
      <c r="N6" s="4"/>
      <c r="O6" s="3">
        <v>51584.0</v>
      </c>
      <c r="P6" s="3">
        <v>55453.0</v>
      </c>
      <c r="Q6" s="4"/>
      <c r="R6" s="4"/>
      <c r="S6" s="3">
        <v>58503.0</v>
      </c>
      <c r="T6" s="3">
        <v>61720.0</v>
      </c>
      <c r="U6" s="3">
        <v>65115.0</v>
      </c>
      <c r="V6" s="4"/>
      <c r="W6" s="3">
        <v>65115.0</v>
      </c>
      <c r="X6" s="3">
        <v>68697.0</v>
      </c>
      <c r="Y6" s="3">
        <v>72474.0</v>
      </c>
      <c r="Z6" s="3">
        <v>76461.0</v>
      </c>
      <c r="AA6" s="3"/>
      <c r="AB6" s="3">
        <v>79519.0</v>
      </c>
      <c r="AC6" s="3">
        <v>82700.0</v>
      </c>
      <c r="AD6" s="3">
        <v>86008.0</v>
      </c>
      <c r="AE6" s="3">
        <v>89448.0</v>
      </c>
      <c r="AF6" s="4"/>
      <c r="AG6" s="3">
        <v>89448.0</v>
      </c>
      <c r="AH6" s="3">
        <v>93027.0</v>
      </c>
      <c r="AI6" s="3">
        <v>96748.0</v>
      </c>
      <c r="AJ6" s="3">
        <v>100617.0</v>
      </c>
      <c r="AK6" s="3">
        <v>104642.0</v>
      </c>
      <c r="AL6" s="3">
        <v>108828.0</v>
      </c>
      <c r="AM6" s="3">
        <v>113181.0</v>
      </c>
      <c r="AN6" s="3">
        <v>117708.0</v>
      </c>
      <c r="AO6" s="3">
        <v>122416.0</v>
      </c>
      <c r="AP6" s="3">
        <v>127314.0</v>
      </c>
      <c r="AQ6" s="4"/>
      <c r="AR6" s="4"/>
      <c r="AS6" s="4"/>
      <c r="AT6" s="4"/>
    </row>
    <row r="7">
      <c r="A7" s="1">
        <v>40360.0</v>
      </c>
      <c r="B7" s="3">
        <v>34762.0</v>
      </c>
      <c r="C7" s="3">
        <v>37369.0</v>
      </c>
      <c r="D7" s="4"/>
      <c r="E7" s="3">
        <v>40172.0</v>
      </c>
      <c r="F7" s="3">
        <v>43184.0</v>
      </c>
      <c r="G7" s="4"/>
      <c r="H7" s="4"/>
      <c r="I7" s="3"/>
      <c r="J7" s="3">
        <v>46422.0</v>
      </c>
      <c r="K7" s="3">
        <v>49905.0</v>
      </c>
      <c r="L7" s="4"/>
      <c r="M7" s="4"/>
      <c r="N7" s="4"/>
      <c r="O7" s="3">
        <v>53647.0</v>
      </c>
      <c r="P7" s="3">
        <v>57671.0</v>
      </c>
      <c r="Q7" s="4"/>
      <c r="R7" s="4"/>
      <c r="S7" s="3">
        <v>60843.0</v>
      </c>
      <c r="T7" s="3">
        <v>64189.0</v>
      </c>
      <c r="U7" s="3">
        <v>67720.0</v>
      </c>
      <c r="V7" s="4"/>
      <c r="W7" s="3">
        <v>67720.0</v>
      </c>
      <c r="X7" s="3">
        <v>71445.0</v>
      </c>
      <c r="Y7" s="3">
        <v>75373.0</v>
      </c>
      <c r="Z7" s="3">
        <v>79519.0</v>
      </c>
      <c r="AA7" s="3"/>
      <c r="AB7" s="3">
        <v>82700.0</v>
      </c>
      <c r="AC7" s="3">
        <v>86008.0</v>
      </c>
      <c r="AD7" s="3">
        <v>89448.0</v>
      </c>
      <c r="AE7" s="3">
        <v>93026.0</v>
      </c>
      <c r="AF7" s="4"/>
      <c r="AG7" s="3">
        <v>93206.0</v>
      </c>
      <c r="AH7" s="3">
        <v>96748.0</v>
      </c>
      <c r="AI7" s="3">
        <v>100618.0</v>
      </c>
      <c r="AJ7" s="3">
        <v>104642.0</v>
      </c>
      <c r="AK7" s="3">
        <v>108828.0</v>
      </c>
      <c r="AL7" s="3">
        <v>113181.0</v>
      </c>
      <c r="AM7" s="3">
        <v>117708.0</v>
      </c>
      <c r="AN7" s="3">
        <v>122416.0</v>
      </c>
      <c r="AO7" s="3">
        <v>127313.0</v>
      </c>
      <c r="AP7" s="3">
        <v>132407.0</v>
      </c>
      <c r="AQ7" s="4"/>
      <c r="AR7" s="4"/>
      <c r="AS7" s="4"/>
      <c r="AT7" s="4"/>
    </row>
    <row r="8">
      <c r="A8" s="1">
        <v>40360.0</v>
      </c>
      <c r="B8" s="3">
        <v>34762.0</v>
      </c>
      <c r="C8" s="3">
        <v>37713.0</v>
      </c>
      <c r="D8" s="4"/>
      <c r="E8" s="3">
        <v>40664.0</v>
      </c>
      <c r="F8" s="3">
        <v>43616.0</v>
      </c>
      <c r="G8" s="4"/>
      <c r="H8" s="4"/>
      <c r="I8" s="3"/>
      <c r="J8" s="3">
        <v>46422.0</v>
      </c>
      <c r="K8" s="3">
        <v>50364.0</v>
      </c>
      <c r="L8" s="4"/>
      <c r="M8" s="4"/>
      <c r="N8" s="4"/>
      <c r="O8" s="3">
        <v>54306.0</v>
      </c>
      <c r="P8" s="3">
        <v>58248.0</v>
      </c>
      <c r="Q8" s="4"/>
      <c r="R8" s="4"/>
      <c r="S8" s="3">
        <v>60843.0</v>
      </c>
      <c r="T8" s="3">
        <v>65879.0</v>
      </c>
      <c r="U8" s="3">
        <v>68397.0</v>
      </c>
      <c r="V8" s="4"/>
      <c r="W8" s="4"/>
      <c r="X8" s="3">
        <v>71445.0</v>
      </c>
      <c r="Y8" s="3">
        <v>77358.0</v>
      </c>
      <c r="Z8" s="3">
        <v>80314.0</v>
      </c>
      <c r="AA8" s="4"/>
      <c r="AB8" s="3">
        <v>82700.0</v>
      </c>
      <c r="AC8" s="3">
        <v>86452.0</v>
      </c>
      <c r="AD8" s="3">
        <v>90204.0</v>
      </c>
      <c r="AE8" s="3">
        <v>93956.0</v>
      </c>
      <c r="AF8" s="4"/>
      <c r="AG8" s="3">
        <v>93956.0</v>
      </c>
      <c r="AH8" s="3">
        <v>96748.0</v>
      </c>
      <c r="AI8" s="3">
        <v>101138.0</v>
      </c>
      <c r="AJ8" s="3">
        <v>105527.0</v>
      </c>
      <c r="AK8" s="3">
        <v>109916.0</v>
      </c>
      <c r="AL8" s="3">
        <v>113181.0</v>
      </c>
      <c r="AM8" s="3">
        <v>118316.0</v>
      </c>
      <c r="AN8" s="3">
        <v>123451.0</v>
      </c>
      <c r="AO8" s="3">
        <v>128586.0</v>
      </c>
      <c r="AP8" s="3">
        <v>132407.0</v>
      </c>
      <c r="AQ8" s="4"/>
      <c r="AR8" s="4"/>
      <c r="AS8" s="4"/>
      <c r="AT8" s="4"/>
    </row>
    <row r="9">
      <c r="A9" s="1">
        <v>40779.0</v>
      </c>
      <c r="B9" s="3">
        <v>35805.0</v>
      </c>
      <c r="C9" s="3">
        <v>38844.0</v>
      </c>
      <c r="D9" s="4"/>
      <c r="E9" s="3">
        <v>44393.0</v>
      </c>
      <c r="F9" s="3">
        <v>47436.0</v>
      </c>
      <c r="G9" s="4"/>
      <c r="H9" s="4"/>
      <c r="I9" s="3"/>
      <c r="J9" s="3">
        <v>50573.0</v>
      </c>
      <c r="K9" s="3">
        <v>53766.0</v>
      </c>
      <c r="L9" s="4"/>
      <c r="M9" s="4"/>
      <c r="N9" s="4"/>
      <c r="O9" s="3">
        <v>56959.0</v>
      </c>
      <c r="P9" s="3">
        <v>59996.0</v>
      </c>
      <c r="Q9" s="3">
        <v>62668.0</v>
      </c>
      <c r="R9" s="4"/>
      <c r="S9" s="3">
        <v>63448.0</v>
      </c>
      <c r="T9" s="3">
        <v>66948.0</v>
      </c>
      <c r="U9" s="3">
        <v>70449.0</v>
      </c>
      <c r="V9" s="4"/>
      <c r="W9" s="3">
        <v>73588.0</v>
      </c>
      <c r="X9" s="3">
        <v>76633.0</v>
      </c>
      <c r="Y9" s="3">
        <v>80908.0</v>
      </c>
      <c r="Z9" s="3">
        <v>85181.0</v>
      </c>
      <c r="AA9" s="4"/>
      <c r="AB9" s="3">
        <v>88580.0</v>
      </c>
      <c r="AC9" s="3">
        <v>91645.0</v>
      </c>
      <c r="AD9" s="3">
        <v>94350.0</v>
      </c>
      <c r="AE9" s="3">
        <v>96775.0</v>
      </c>
      <c r="AF9" s="3">
        <v>100132.0</v>
      </c>
      <c r="AG9" s="3">
        <v>105266.0</v>
      </c>
      <c r="AH9" s="3">
        <v>111091.0</v>
      </c>
      <c r="AI9" s="3">
        <v>116915.0</v>
      </c>
      <c r="AJ9" s="3">
        <v>122872.0</v>
      </c>
      <c r="AK9" s="3">
        <v>128565.0</v>
      </c>
      <c r="AL9" s="3">
        <v>134393.0</v>
      </c>
      <c r="AM9" s="3">
        <v>136379.0</v>
      </c>
      <c r="AN9" s="4"/>
      <c r="AO9" s="4"/>
      <c r="AP9" s="4"/>
      <c r="AQ9" s="4"/>
      <c r="AR9" s="4"/>
      <c r="AS9" s="4"/>
      <c r="AT9" s="4"/>
    </row>
    <row r="10">
      <c r="A10" s="1">
        <v>41091.0</v>
      </c>
      <c r="B10" s="3">
        <v>36879.0</v>
      </c>
      <c r="C10" s="3">
        <v>40010.0</v>
      </c>
      <c r="D10" s="4"/>
      <c r="E10" s="3">
        <v>45725.0</v>
      </c>
      <c r="F10" s="3">
        <v>48859.0</v>
      </c>
      <c r="G10" s="4"/>
      <c r="H10" s="4"/>
      <c r="I10" s="3"/>
      <c r="J10" s="3">
        <v>52090.0</v>
      </c>
      <c r="K10" s="3">
        <v>55379.0</v>
      </c>
      <c r="L10" s="4"/>
      <c r="M10" s="4"/>
      <c r="N10" s="4"/>
      <c r="O10" s="3">
        <v>58668.0</v>
      </c>
      <c r="P10" s="3">
        <v>61796.0</v>
      </c>
      <c r="Q10" s="3">
        <v>64548.0</v>
      </c>
      <c r="R10" s="4"/>
      <c r="S10" s="3">
        <v>65351.0</v>
      </c>
      <c r="T10" s="3">
        <v>68956.0</v>
      </c>
      <c r="U10" s="3">
        <v>72562.0</v>
      </c>
      <c r="V10" s="4"/>
      <c r="W10" s="3">
        <v>75796.0</v>
      </c>
      <c r="X10" s="3">
        <v>78932.0</v>
      </c>
      <c r="Y10" s="3">
        <v>83335.0</v>
      </c>
      <c r="Z10" s="3">
        <v>87736.0</v>
      </c>
      <c r="AA10" s="4"/>
      <c r="AB10" s="3">
        <v>91237.0</v>
      </c>
      <c r="AC10" s="3">
        <v>94394.0</v>
      </c>
      <c r="AD10" s="3">
        <v>97181.0</v>
      </c>
      <c r="AE10" s="3">
        <v>99678.0</v>
      </c>
      <c r="AF10" s="3">
        <v>103136.0</v>
      </c>
      <c r="AG10" s="3">
        <v>108424.0</v>
      </c>
      <c r="AH10" s="3">
        <v>114423.0</v>
      </c>
      <c r="AI10" s="3">
        <v>120423.0</v>
      </c>
      <c r="AJ10" s="3">
        <v>126558.0</v>
      </c>
      <c r="AK10" s="3">
        <v>132422.0</v>
      </c>
      <c r="AL10" s="3">
        <v>138425.0</v>
      </c>
      <c r="AM10" s="3">
        <v>140470.0</v>
      </c>
      <c r="AN10" s="4"/>
      <c r="AO10" s="4"/>
      <c r="AP10" s="4"/>
      <c r="AQ10" s="4"/>
      <c r="AR10" s="4"/>
      <c r="AS10" s="4"/>
      <c r="AT10" s="4"/>
    </row>
    <row r="11">
      <c r="A11" s="1">
        <v>41456.0</v>
      </c>
      <c r="B11" s="3">
        <v>37985.0</v>
      </c>
      <c r="C11" s="3">
        <v>41210.0</v>
      </c>
      <c r="D11" s="4"/>
      <c r="E11" s="3">
        <v>47097.0</v>
      </c>
      <c r="F11" s="3">
        <v>50324.0</v>
      </c>
      <c r="G11" s="4"/>
      <c r="H11" s="4"/>
      <c r="I11" s="3"/>
      <c r="J11" s="3">
        <v>53652.0</v>
      </c>
      <c r="K11" s="3">
        <v>57040.0</v>
      </c>
      <c r="L11" s="4"/>
      <c r="M11" s="4"/>
      <c r="N11" s="4"/>
      <c r="O11" s="3">
        <v>60428.0</v>
      </c>
      <c r="P11" s="3">
        <v>63650.0</v>
      </c>
      <c r="Q11" s="3">
        <v>66485.0</v>
      </c>
      <c r="R11" s="4"/>
      <c r="S11" s="3">
        <v>67312.0</v>
      </c>
      <c r="T11" s="3">
        <v>71025.0</v>
      </c>
      <c r="U11" s="3">
        <v>74739.0</v>
      </c>
      <c r="V11" s="4"/>
      <c r="W11" s="3">
        <v>78070.0</v>
      </c>
      <c r="X11" s="3">
        <v>81300.0</v>
      </c>
      <c r="Y11" s="3">
        <v>85835.0</v>
      </c>
      <c r="Z11" s="3">
        <v>90369.0</v>
      </c>
      <c r="AA11" s="4"/>
      <c r="AB11" s="3">
        <v>93974.0</v>
      </c>
      <c r="AC11" s="3">
        <v>97226.0</v>
      </c>
      <c r="AD11" s="3">
        <v>100096.0</v>
      </c>
      <c r="AE11" s="3">
        <v>102669.0</v>
      </c>
      <c r="AF11" s="3">
        <v>106230.0</v>
      </c>
      <c r="AG11" s="3">
        <v>111677.0</v>
      </c>
      <c r="AH11" s="3">
        <v>117856.0</v>
      </c>
      <c r="AI11" s="3">
        <v>124035.0</v>
      </c>
      <c r="AJ11" s="3">
        <v>130354.0</v>
      </c>
      <c r="AK11" s="3">
        <v>136394.0</v>
      </c>
      <c r="AL11" s="3">
        <v>142578.0</v>
      </c>
      <c r="AM11" s="3">
        <v>144685.0</v>
      </c>
      <c r="AN11" s="4"/>
      <c r="AO11" s="4"/>
      <c r="AP11" s="4"/>
      <c r="AQ11" s="4"/>
      <c r="AR11" s="4"/>
      <c r="AS11" s="4"/>
      <c r="AT11" s="4"/>
    </row>
    <row r="12">
      <c r="A12" s="1">
        <v>42481.0</v>
      </c>
      <c r="B12" s="3">
        <v>38935.0</v>
      </c>
      <c r="C12" s="3">
        <v>40546.0</v>
      </c>
      <c r="D12" s="3">
        <v>42240.0</v>
      </c>
      <c r="E12" s="3">
        <v>48274.0</v>
      </c>
      <c r="F12" s="3">
        <v>49907.0</v>
      </c>
      <c r="G12" s="3">
        <v>51582.0</v>
      </c>
      <c r="H12" s="4"/>
      <c r="I12" s="3"/>
      <c r="J12" s="3">
        <v>54994.0</v>
      </c>
      <c r="K12" s="3">
        <v>56703.0</v>
      </c>
      <c r="L12" s="3">
        <v>58466.0</v>
      </c>
      <c r="M12" s="4"/>
      <c r="N12" s="4"/>
      <c r="O12" s="3">
        <v>61939.0</v>
      </c>
      <c r="P12" s="3">
        <v>63873.0</v>
      </c>
      <c r="Q12" s="3">
        <v>65805.0</v>
      </c>
      <c r="R12" s="3">
        <v>68147.0</v>
      </c>
      <c r="S12" s="3">
        <v>68995.0</v>
      </c>
      <c r="T12" s="3">
        <v>70674.0</v>
      </c>
      <c r="U12" s="3">
        <v>73288.0</v>
      </c>
      <c r="V12" s="3">
        <v>76607.0</v>
      </c>
      <c r="W12" s="3">
        <v>80022.0</v>
      </c>
      <c r="X12" s="3">
        <v>83333.0</v>
      </c>
      <c r="Y12" s="3">
        <v>86510.0</v>
      </c>
      <c r="Z12" s="3">
        <v>89119.0</v>
      </c>
      <c r="AA12" s="3">
        <v>92628.0</v>
      </c>
      <c r="AB12" s="3">
        <v>96323.0</v>
      </c>
      <c r="AC12" s="3">
        <v>99657.0</v>
      </c>
      <c r="AD12" s="3">
        <v>102598.0</v>
      </c>
      <c r="AE12" s="3">
        <v>105236.0</v>
      </c>
      <c r="AF12" s="3">
        <v>108886.0</v>
      </c>
      <c r="AG12" s="3">
        <v>114469.0</v>
      </c>
      <c r="AH12" s="3">
        <v>120508.0</v>
      </c>
      <c r="AI12" s="3">
        <v>126547.0</v>
      </c>
      <c r="AJ12" s="3">
        <v>132730.0</v>
      </c>
      <c r="AK12" s="3">
        <v>138631.0</v>
      </c>
      <c r="AL12" s="3">
        <v>144683.0</v>
      </c>
      <c r="AM12" s="3">
        <v>148302.0</v>
      </c>
      <c r="AN12" s="4"/>
      <c r="AO12" s="4"/>
      <c r="AP12" s="4"/>
      <c r="AQ12" s="4"/>
      <c r="AR12" s="4"/>
      <c r="AS12" s="4"/>
      <c r="AT12" s="4"/>
    </row>
    <row r="13">
      <c r="A13" s="1">
        <v>42846.0</v>
      </c>
      <c r="B13" s="3">
        <v>39714.0</v>
      </c>
      <c r="C13" s="3">
        <v>41357.0</v>
      </c>
      <c r="D13" s="3">
        <v>43085.0</v>
      </c>
      <c r="E13" s="3">
        <v>49239.0</v>
      </c>
      <c r="F13" s="3">
        <v>50905.0</v>
      </c>
      <c r="G13" s="3">
        <v>52614.0</v>
      </c>
      <c r="H13" s="4"/>
      <c r="I13" s="3"/>
      <c r="J13" s="3">
        <v>56094.0</v>
      </c>
      <c r="K13" s="3">
        <v>57837.0</v>
      </c>
      <c r="L13" s="3">
        <v>59635.0</v>
      </c>
      <c r="M13" s="4"/>
      <c r="N13" s="4"/>
      <c r="O13" s="3">
        <v>63178.0</v>
      </c>
      <c r="P13" s="3">
        <v>65150.0</v>
      </c>
      <c r="Q13" s="3">
        <v>67121.0</v>
      </c>
      <c r="R13" s="3">
        <v>69510.0</v>
      </c>
      <c r="S13" s="3">
        <v>70375.0</v>
      </c>
      <c r="T13" s="3">
        <v>72087.0</v>
      </c>
      <c r="U13" s="3">
        <v>74754.0</v>
      </c>
      <c r="V13" s="3">
        <v>78139.0</v>
      </c>
      <c r="W13" s="3">
        <v>81622.0</v>
      </c>
      <c r="X13" s="3">
        <v>85000.0</v>
      </c>
      <c r="Y13" s="3">
        <v>88240.0</v>
      </c>
      <c r="Z13" s="3">
        <v>90901.0</v>
      </c>
      <c r="AA13" s="3">
        <v>94481.0</v>
      </c>
      <c r="AB13" s="3">
        <v>98249.0</v>
      </c>
      <c r="AC13" s="3">
        <v>101650.0</v>
      </c>
      <c r="AD13" s="3">
        <v>104650.0</v>
      </c>
      <c r="AE13" s="3">
        <v>107341.0</v>
      </c>
      <c r="AF13" s="3">
        <v>111064.0</v>
      </c>
      <c r="AG13" s="3">
        <v>116758.0</v>
      </c>
      <c r="AH13" s="3">
        <v>122677.0</v>
      </c>
      <c r="AI13" s="3">
        <v>128597.0</v>
      </c>
      <c r="AJ13" s="3">
        <v>134665.0</v>
      </c>
      <c r="AK13" s="3">
        <v>140450.0</v>
      </c>
      <c r="AL13" s="3">
        <v>146392.0</v>
      </c>
      <c r="AM13" s="3">
        <v>151268.0</v>
      </c>
      <c r="AN13" s="4"/>
      <c r="AO13" s="4"/>
      <c r="AP13" s="4"/>
      <c r="AQ13" s="4"/>
      <c r="AR13" s="4"/>
      <c r="AS13" s="4"/>
      <c r="AT13" s="4"/>
    </row>
    <row r="14">
      <c r="A14" s="1">
        <v>43211.0</v>
      </c>
      <c r="B14" s="3">
        <v>40310.0</v>
      </c>
      <c r="C14" s="3">
        <v>41977.0</v>
      </c>
      <c r="D14" s="3">
        <v>43731.0</v>
      </c>
      <c r="E14" s="3">
        <v>49978.0</v>
      </c>
      <c r="F14" s="3">
        <v>51669.0</v>
      </c>
      <c r="G14" s="3">
        <v>53403.0</v>
      </c>
      <c r="H14" s="4"/>
      <c r="I14" s="3"/>
      <c r="J14" s="3">
        <v>56935.0</v>
      </c>
      <c r="K14" s="3">
        <v>58705.0</v>
      </c>
      <c r="L14" s="3">
        <v>60530.0</v>
      </c>
      <c r="M14" s="4"/>
      <c r="N14" s="4"/>
      <c r="O14" s="3">
        <v>64126.0</v>
      </c>
      <c r="P14" s="3">
        <v>66127.0</v>
      </c>
      <c r="Q14" s="3">
        <v>68128.0</v>
      </c>
      <c r="R14" s="3">
        <v>70553.0</v>
      </c>
      <c r="S14" s="3">
        <v>71431.0</v>
      </c>
      <c r="T14" s="3">
        <v>73168.0</v>
      </c>
      <c r="U14" s="3">
        <v>75875.0</v>
      </c>
      <c r="V14" s="3">
        <v>79311.0</v>
      </c>
      <c r="W14" s="3">
        <v>82846.0</v>
      </c>
      <c r="X14" s="3">
        <v>86275.0</v>
      </c>
      <c r="Y14" s="3">
        <v>89564.0</v>
      </c>
      <c r="Z14" s="3">
        <v>92265.0</v>
      </c>
      <c r="AA14" s="3">
        <v>95898.0</v>
      </c>
      <c r="AB14" s="3">
        <v>99723.0</v>
      </c>
      <c r="AC14" s="3">
        <v>103175.0</v>
      </c>
      <c r="AD14" s="3">
        <v>106220.0</v>
      </c>
      <c r="AE14" s="3">
        <v>108951.0</v>
      </c>
      <c r="AF14" s="3">
        <v>112730.0</v>
      </c>
      <c r="AG14" s="3">
        <v>118509.0</v>
      </c>
      <c r="AH14" s="3">
        <v>124333.0</v>
      </c>
      <c r="AI14" s="3">
        <v>130159.0</v>
      </c>
      <c r="AJ14" s="3">
        <v>136138.0</v>
      </c>
      <c r="AK14" s="3">
        <v>141832.0</v>
      </c>
      <c r="AL14" s="3">
        <v>147689.0</v>
      </c>
      <c r="AM14" s="3">
        <v>153537.0</v>
      </c>
      <c r="AN14" s="4"/>
      <c r="AO14" s="4"/>
      <c r="AP14" s="4"/>
      <c r="AQ14" s="4"/>
      <c r="AR14" s="4"/>
      <c r="AS14" s="4"/>
      <c r="AT14" s="4"/>
    </row>
    <row r="15">
      <c r="A15" s="1">
        <v>43634.0</v>
      </c>
      <c r="B15" s="3">
        <v>41116.0</v>
      </c>
      <c r="C15" s="3">
        <v>42817.0</v>
      </c>
      <c r="D15" s="3">
        <v>44606.0</v>
      </c>
      <c r="E15" s="3">
        <v>50978.0</v>
      </c>
      <c r="F15" s="3">
        <v>52702.0</v>
      </c>
      <c r="G15" s="3">
        <v>54471.0</v>
      </c>
      <c r="H15" s="4"/>
      <c r="I15" s="3"/>
      <c r="J15" s="3">
        <v>58074.0</v>
      </c>
      <c r="K15" s="3">
        <v>59879.0</v>
      </c>
      <c r="L15" s="3">
        <v>61741.0</v>
      </c>
      <c r="M15" s="4"/>
      <c r="N15" s="4"/>
      <c r="O15" s="3">
        <v>65409.0</v>
      </c>
      <c r="P15" s="3">
        <v>67450.0</v>
      </c>
      <c r="Q15" s="3">
        <v>69491.0</v>
      </c>
      <c r="R15" s="3">
        <v>71964.0</v>
      </c>
      <c r="S15" s="3">
        <v>72860.0</v>
      </c>
      <c r="T15" s="3">
        <v>74631.0</v>
      </c>
      <c r="U15" s="3">
        <v>77393.0</v>
      </c>
      <c r="V15" s="3">
        <v>80897.0</v>
      </c>
      <c r="W15" s="3">
        <v>84503.0</v>
      </c>
      <c r="X15" s="3">
        <v>88001.0</v>
      </c>
      <c r="Y15" s="3">
        <v>91355.0</v>
      </c>
      <c r="Z15" s="3">
        <v>94110.0</v>
      </c>
      <c r="AA15" s="3">
        <v>97816.0</v>
      </c>
      <c r="AB15" s="3">
        <v>101717.0</v>
      </c>
      <c r="AC15" s="3">
        <v>105239.0</v>
      </c>
      <c r="AD15" s="3">
        <v>108344.0</v>
      </c>
      <c r="AE15" s="3">
        <v>111130.0</v>
      </c>
      <c r="AF15" s="3">
        <v>114985.0</v>
      </c>
      <c r="AG15" s="3">
        <v>120879.0</v>
      </c>
      <c r="AH15" s="3">
        <v>126820.0</v>
      </c>
      <c r="AI15" s="3">
        <v>132762.0</v>
      </c>
      <c r="AJ15" s="3">
        <v>138861.0</v>
      </c>
      <c r="AK15" s="3">
        <v>144669.0</v>
      </c>
      <c r="AL15" s="3">
        <v>150643.0</v>
      </c>
      <c r="AM15" s="3">
        <v>156608.0</v>
      </c>
      <c r="AN15" s="4"/>
      <c r="AO15" s="4"/>
      <c r="AP15" s="4"/>
      <c r="AQ15" s="4"/>
      <c r="AR15" s="4"/>
      <c r="AS15" s="4"/>
      <c r="AT15" s="4"/>
    </row>
    <row r="16">
      <c r="A16" s="1">
        <v>44000.0</v>
      </c>
      <c r="B16" s="3">
        <v>41938.0</v>
      </c>
      <c r="C16" s="3">
        <v>43673.0</v>
      </c>
      <c r="D16" s="3">
        <v>45498.0</v>
      </c>
      <c r="E16" s="3">
        <v>51998.0</v>
      </c>
      <c r="F16" s="3">
        <v>53756.0</v>
      </c>
      <c r="G16" s="3">
        <v>55560.0</v>
      </c>
      <c r="H16" s="4"/>
      <c r="I16" s="3"/>
      <c r="J16" s="3">
        <v>59235.0</v>
      </c>
      <c r="K16" s="3">
        <v>61077.0</v>
      </c>
      <c r="L16" s="3">
        <v>62976.0</v>
      </c>
      <c r="M16" s="4"/>
      <c r="N16" s="4"/>
      <c r="O16" s="3">
        <v>66717.0</v>
      </c>
      <c r="P16" s="3">
        <v>68799.0</v>
      </c>
      <c r="Q16" s="3">
        <v>70881.0</v>
      </c>
      <c r="R16" s="3">
        <v>73403.0</v>
      </c>
      <c r="S16" s="3">
        <v>74317.0</v>
      </c>
      <c r="T16" s="3">
        <v>76124.0</v>
      </c>
      <c r="U16" s="3">
        <v>78941.0</v>
      </c>
      <c r="V16" s="3">
        <v>82515.0</v>
      </c>
      <c r="W16" s="3">
        <v>86193.0</v>
      </c>
      <c r="X16" s="3">
        <v>89761.0</v>
      </c>
      <c r="Y16" s="3">
        <v>93182.0</v>
      </c>
      <c r="Z16" s="3">
        <v>95992.0</v>
      </c>
      <c r="AA16" s="3">
        <v>99772.0</v>
      </c>
      <c r="AB16" s="3">
        <v>103751.0</v>
      </c>
      <c r="AC16" s="3">
        <v>107344.0</v>
      </c>
      <c r="AD16" s="3">
        <v>110511.0</v>
      </c>
      <c r="AE16" s="3">
        <v>113353.0</v>
      </c>
      <c r="AF16" s="3">
        <v>117285.0</v>
      </c>
      <c r="AG16" s="3">
        <v>123297.0</v>
      </c>
      <c r="AH16" s="3">
        <v>129356.0</v>
      </c>
      <c r="AI16" s="3">
        <v>135417.0</v>
      </c>
      <c r="AJ16" s="3">
        <v>141638.0</v>
      </c>
      <c r="AK16" s="3">
        <v>147562.0</v>
      </c>
      <c r="AL16" s="3">
        <v>153656.0</v>
      </c>
      <c r="AM16" s="3">
        <v>159740.0</v>
      </c>
      <c r="AN16" s="4"/>
      <c r="AO16" s="4"/>
      <c r="AP16" s="4"/>
      <c r="AQ16" s="4"/>
      <c r="AR16" s="4"/>
      <c r="AS16" s="4"/>
      <c r="AT16" s="4"/>
    </row>
    <row r="17">
      <c r="A17" s="1">
        <v>44365.0</v>
      </c>
      <c r="B17" s="3">
        <v>42777.0</v>
      </c>
      <c r="C17" s="3">
        <v>44546.0</v>
      </c>
      <c r="D17" s="3">
        <v>46408.0</v>
      </c>
      <c r="E17" s="3">
        <v>53038.0</v>
      </c>
      <c r="F17" s="3">
        <v>54831.0</v>
      </c>
      <c r="G17" s="3">
        <v>56671.0</v>
      </c>
      <c r="H17" s="4"/>
      <c r="I17" s="3"/>
      <c r="J17" s="3">
        <v>60420.0</v>
      </c>
      <c r="K17" s="3">
        <v>62299.0</v>
      </c>
      <c r="L17" s="3">
        <v>64236.0</v>
      </c>
      <c r="M17" s="4"/>
      <c r="N17" s="4"/>
      <c r="O17" s="3">
        <v>68051.0</v>
      </c>
      <c r="P17" s="3">
        <v>70175.0</v>
      </c>
      <c r="Q17" s="3">
        <v>72299.0</v>
      </c>
      <c r="R17" s="3">
        <v>74871.0</v>
      </c>
      <c r="S17" s="3">
        <v>75803.0</v>
      </c>
      <c r="T17" s="3">
        <v>77646.0</v>
      </c>
      <c r="U17" s="3">
        <v>80520.0</v>
      </c>
      <c r="V17" s="3">
        <v>84165.0</v>
      </c>
      <c r="W17" s="3">
        <v>87917.0</v>
      </c>
      <c r="X17" s="3">
        <v>91556.0</v>
      </c>
      <c r="Y17" s="3">
        <v>95046.0</v>
      </c>
      <c r="Z17" s="3">
        <v>97912.0</v>
      </c>
      <c r="AA17" s="3">
        <v>101767.0</v>
      </c>
      <c r="AB17" s="3">
        <v>105826.0</v>
      </c>
      <c r="AC17" s="3">
        <v>109491.0</v>
      </c>
      <c r="AD17" s="3">
        <v>112721.0</v>
      </c>
      <c r="AE17" s="3">
        <v>115620.0</v>
      </c>
      <c r="AF17" s="3">
        <v>119631.0</v>
      </c>
      <c r="AG17" s="3">
        <v>125763.0</v>
      </c>
      <c r="AH17" s="3">
        <v>131943.0</v>
      </c>
      <c r="AI17" s="3">
        <v>138125.0</v>
      </c>
      <c r="AJ17" s="3">
        <v>144471.0</v>
      </c>
      <c r="AK17" s="3">
        <v>150513.0</v>
      </c>
      <c r="AL17" s="3">
        <v>156729.0</v>
      </c>
      <c r="AM17" s="3">
        <v>162935.0</v>
      </c>
      <c r="AN17" s="4"/>
      <c r="AO17" s="4"/>
      <c r="AP17" s="4"/>
      <c r="AQ17" s="4"/>
      <c r="AR17" s="4"/>
      <c r="AS17" s="4"/>
      <c r="AT17" s="4"/>
    </row>
    <row r="18">
      <c r="A18" s="1">
        <v>45169.0</v>
      </c>
      <c r="B18" s="3">
        <v>47884.0</v>
      </c>
      <c r="C18" s="4"/>
      <c r="D18" s="3">
        <v>46408.0</v>
      </c>
      <c r="E18" s="3">
        <v>54629.0</v>
      </c>
      <c r="F18" s="3">
        <v>56476.0</v>
      </c>
      <c r="G18" s="3">
        <v>58371.0</v>
      </c>
      <c r="H18" s="4"/>
      <c r="I18" s="4"/>
      <c r="J18" s="3">
        <v>62233.0</v>
      </c>
      <c r="K18" s="3">
        <v>64168.0</v>
      </c>
      <c r="L18" s="3">
        <v>66163.0</v>
      </c>
      <c r="M18" s="4"/>
      <c r="N18" s="4"/>
      <c r="O18" s="3">
        <v>70093.0</v>
      </c>
      <c r="P18" s="3">
        <v>72280.0</v>
      </c>
      <c r="Q18" s="3">
        <v>74468.0</v>
      </c>
      <c r="R18" s="3">
        <v>77117.0</v>
      </c>
      <c r="S18" s="3">
        <v>78077.0</v>
      </c>
      <c r="T18" s="3">
        <v>79975.0</v>
      </c>
      <c r="U18" s="3">
        <v>82936.0</v>
      </c>
      <c r="V18" s="3">
        <v>86690.0</v>
      </c>
      <c r="W18" s="3">
        <v>90555.0</v>
      </c>
      <c r="X18" s="3">
        <v>94303.0</v>
      </c>
      <c r="Y18" s="3">
        <v>97897.0</v>
      </c>
      <c r="Z18" s="3">
        <v>100849.0</v>
      </c>
      <c r="AA18" s="3">
        <v>104820.0</v>
      </c>
      <c r="AB18" s="3">
        <v>109001.0</v>
      </c>
      <c r="AC18" s="3">
        <v>113239.0</v>
      </c>
      <c r="AD18" s="3">
        <v>116103.0</v>
      </c>
      <c r="AE18" s="3">
        <v>119089.0</v>
      </c>
      <c r="AF18" s="3">
        <v>123220.0</v>
      </c>
      <c r="AG18" s="3">
        <v>129536.0</v>
      </c>
      <c r="AH18" s="3">
        <v>135901.0</v>
      </c>
      <c r="AI18" s="3">
        <v>142269.0</v>
      </c>
      <c r="AJ18" s="3">
        <v>148805.0</v>
      </c>
      <c r="AK18" s="3">
        <v>155028.0</v>
      </c>
      <c r="AL18" s="3">
        <v>161431.0</v>
      </c>
      <c r="AM18" s="3">
        <v>167823.0</v>
      </c>
      <c r="AN18" s="4"/>
      <c r="AO18" s="4"/>
      <c r="AP18" s="4"/>
      <c r="AQ18" s="4"/>
      <c r="AR18" s="4"/>
      <c r="AS18" s="4"/>
      <c r="AT18" s="4"/>
    </row>
    <row r="19">
      <c r="A19" s="1">
        <v>45365.0</v>
      </c>
      <c r="B19" s="3">
        <v>52000.0</v>
      </c>
      <c r="C19" s="3">
        <v>53560.0</v>
      </c>
      <c r="D19" s="3">
        <v>55120.0</v>
      </c>
      <c r="E19" s="3">
        <v>56814.0</v>
      </c>
      <c r="F19" s="3">
        <v>58735.0</v>
      </c>
      <c r="G19" s="3">
        <v>60706.0</v>
      </c>
      <c r="H19" s="3">
        <v>61883.0</v>
      </c>
      <c r="I19" s="3"/>
      <c r="J19" s="3">
        <v>64722.0</v>
      </c>
      <c r="K19" s="3">
        <v>66735.0</v>
      </c>
      <c r="L19" s="3">
        <v>68810.0</v>
      </c>
      <c r="M19" s="3">
        <v>69476.0</v>
      </c>
      <c r="N19" s="3"/>
      <c r="O19" s="3">
        <v>72897.0</v>
      </c>
      <c r="P19" s="3">
        <v>75171.0</v>
      </c>
      <c r="Q19" s="3">
        <v>77447.0</v>
      </c>
      <c r="R19" s="3">
        <v>80202.0</v>
      </c>
      <c r="S19" s="3">
        <v>81200.0</v>
      </c>
      <c r="T19" s="3">
        <v>83174.0</v>
      </c>
      <c r="U19" s="3">
        <v>86253.0</v>
      </c>
      <c r="V19" s="3">
        <v>90158.0</v>
      </c>
      <c r="W19" s="3">
        <v>94177.0</v>
      </c>
      <c r="X19" s="3">
        <v>98075.0</v>
      </c>
      <c r="Y19" s="3">
        <v>101813.0</v>
      </c>
      <c r="Z19" s="3">
        <v>104883.0</v>
      </c>
      <c r="AA19" s="3">
        <v>109013.0</v>
      </c>
      <c r="AB19" s="3">
        <v>113361.0</v>
      </c>
      <c r="AC19" s="3">
        <v>117769.0</v>
      </c>
      <c r="AD19" s="3">
        <v>120747.0</v>
      </c>
      <c r="AE19" s="3">
        <v>123853.0</v>
      </c>
      <c r="AF19" s="3">
        <v>128149.0</v>
      </c>
      <c r="AG19" s="3">
        <v>134717.0</v>
      </c>
      <c r="AH19" s="3">
        <v>141337.0</v>
      </c>
      <c r="AI19" s="3">
        <v>147960.0</v>
      </c>
      <c r="AJ19" s="3">
        <v>154757.0</v>
      </c>
      <c r="AK19" s="3">
        <v>161229.0</v>
      </c>
      <c r="AL19" s="3">
        <v>167888.0</v>
      </c>
      <c r="AM19" s="3">
        <v>174536.0</v>
      </c>
      <c r="AN19" s="4"/>
      <c r="AO19" s="4"/>
      <c r="AP19" s="4"/>
      <c r="AQ19" s="4"/>
      <c r="AR19" s="4"/>
      <c r="AS19" s="4"/>
      <c r="AT19" s="4"/>
    </row>
    <row r="20">
      <c r="A20" s="1">
        <v>45729.0</v>
      </c>
      <c r="B20" s="3">
        <v>54516.0</v>
      </c>
      <c r="C20" s="3">
        <v>56131.0</v>
      </c>
      <c r="D20" s="3">
        <v>57786.0</v>
      </c>
      <c r="E20" s="3">
        <v>59520.0</v>
      </c>
      <c r="F20" s="3">
        <v>60967.0</v>
      </c>
      <c r="G20" s="3">
        <v>63013.0</v>
      </c>
      <c r="H20" s="3">
        <v>64877.0</v>
      </c>
      <c r="I20" s="3"/>
      <c r="J20" s="3">
        <v>67181.0</v>
      </c>
      <c r="K20" s="3">
        <v>69271.0</v>
      </c>
      <c r="L20" s="3">
        <v>71425.0</v>
      </c>
      <c r="M20" s="3">
        <v>72837.0</v>
      </c>
      <c r="N20" s="3"/>
      <c r="O20" s="3">
        <v>75667.0</v>
      </c>
      <c r="P20" s="3">
        <v>78027.0</v>
      </c>
      <c r="Q20" s="3">
        <v>80390.0</v>
      </c>
      <c r="R20" s="3">
        <v>83250.0</v>
      </c>
      <c r="S20" s="3">
        <v>84286.0</v>
      </c>
      <c r="T20" s="3">
        <v>86335.0</v>
      </c>
      <c r="U20" s="3">
        <v>89531.0</v>
      </c>
      <c r="V20" s="3">
        <v>93584.0</v>
      </c>
      <c r="W20" s="3">
        <v>97756.0</v>
      </c>
      <c r="X20" s="3">
        <v>101802.0</v>
      </c>
      <c r="Y20" s="3">
        <v>105682.0</v>
      </c>
      <c r="Z20" s="3">
        <v>108869.0</v>
      </c>
      <c r="AA20" s="3">
        <v>113155.0</v>
      </c>
      <c r="AB20" s="3">
        <v>117669.0</v>
      </c>
      <c r="AC20" s="3">
        <v>122244.0</v>
      </c>
      <c r="AD20" s="3">
        <v>125335.0</v>
      </c>
      <c r="AE20" s="3">
        <v>128559.0</v>
      </c>
      <c r="AF20" s="3">
        <v>133019.0</v>
      </c>
      <c r="AG20" s="3">
        <v>139836.0</v>
      </c>
      <c r="AH20" s="3">
        <v>146708.0</v>
      </c>
      <c r="AI20" s="3">
        <v>153582.0</v>
      </c>
      <c r="AJ20" s="3">
        <v>160638.0</v>
      </c>
      <c r="AK20" s="3">
        <v>167356.0</v>
      </c>
      <c r="AL20" s="3">
        <v>174268.0</v>
      </c>
      <c r="AM20" s="3">
        <v>181168.0</v>
      </c>
      <c r="AN20" s="4"/>
      <c r="AO20" s="4"/>
      <c r="AP20" s="4"/>
      <c r="AQ20" s="4"/>
      <c r="AR20" s="4"/>
      <c r="AS20" s="4"/>
      <c r="AT20" s="4"/>
    </row>
    <row r="21">
      <c r="A21" s="1">
        <v>46093.0</v>
      </c>
      <c r="B21" s="3">
        <v>57497.0</v>
      </c>
      <c r="C21" s="3">
        <v>59221.0</v>
      </c>
      <c r="D21" s="3">
        <v>60946.0</v>
      </c>
      <c r="E21" s="3">
        <v>62775.0</v>
      </c>
      <c r="F21" s="3">
        <v>63040.0</v>
      </c>
      <c r="G21" s="3">
        <v>65155.0</v>
      </c>
      <c r="H21" s="3">
        <v>67083.0</v>
      </c>
      <c r="I21" s="3">
        <v>68425.0</v>
      </c>
      <c r="J21" s="3">
        <v>70477.0</v>
      </c>
      <c r="K21" s="3">
        <v>71626.0</v>
      </c>
      <c r="L21" s="3">
        <v>73853.0</v>
      </c>
      <c r="M21" s="3">
        <v>75313.0</v>
      </c>
      <c r="N21" s="3">
        <v>76820.0</v>
      </c>
      <c r="O21" s="3">
        <v>79125.0</v>
      </c>
      <c r="P21" s="3">
        <v>80680.0</v>
      </c>
      <c r="Q21" s="3">
        <v>83123.0</v>
      </c>
      <c r="R21" s="3">
        <v>86246.0</v>
      </c>
      <c r="S21" s="3">
        <v>88834.0</v>
      </c>
      <c r="T21" s="3">
        <v>89270.0</v>
      </c>
      <c r="U21" s="3">
        <v>92575.0</v>
      </c>
      <c r="V21" s="3">
        <v>96829.0</v>
      </c>
      <c r="W21" s="3">
        <v>101080.0</v>
      </c>
      <c r="X21" s="3">
        <v>105263.0</v>
      </c>
      <c r="Y21" s="3">
        <v>109275.0</v>
      </c>
      <c r="Z21" s="3">
        <v>112571.0</v>
      </c>
      <c r="AA21" s="3">
        <v>117002.0</v>
      </c>
      <c r="AB21" s="3">
        <v>121755.0</v>
      </c>
      <c r="AC21" s="3">
        <v>126400.0</v>
      </c>
      <c r="AD21" s="3">
        <v>129596.0</v>
      </c>
      <c r="AE21" s="3">
        <v>132930.0</v>
      </c>
      <c r="AF21" s="3">
        <v>137542.0</v>
      </c>
      <c r="AG21" s="3">
        <v>144590.0</v>
      </c>
      <c r="AH21" s="3">
        <v>151696.0</v>
      </c>
      <c r="AI21" s="3">
        <v>158804.0</v>
      </c>
      <c r="AJ21" s="3">
        <v>166100.0</v>
      </c>
      <c r="AK21" s="3">
        <v>173046.0</v>
      </c>
      <c r="AL21" s="3">
        <v>180193.0</v>
      </c>
      <c r="AM21" s="3">
        <v>187328.0</v>
      </c>
      <c r="AN21" s="4"/>
      <c r="AO21" s="4"/>
      <c r="AP21" s="4"/>
      <c r="AQ21" s="4"/>
      <c r="AR21" s="4"/>
      <c r="AS21" s="4"/>
      <c r="AT21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45</v>
      </c>
      <c r="B1" s="7" t="s">
        <v>46</v>
      </c>
    </row>
    <row r="2">
      <c r="A2" s="8">
        <v>38504.0</v>
      </c>
      <c r="B2" s="9">
        <v>0.9</v>
      </c>
      <c r="C2" s="10"/>
    </row>
    <row r="3">
      <c r="A3" s="8">
        <v>38596.0</v>
      </c>
      <c r="B3" s="9">
        <v>1.1</v>
      </c>
    </row>
    <row r="4">
      <c r="A4" s="8">
        <v>38687.0</v>
      </c>
      <c r="B4" s="9">
        <v>0.5</v>
      </c>
    </row>
    <row r="5">
      <c r="A5" s="8">
        <v>38777.0</v>
      </c>
      <c r="B5" s="9">
        <v>1.1</v>
      </c>
    </row>
    <row r="6">
      <c r="A6" s="8">
        <v>38869.0</v>
      </c>
      <c r="B6" s="9">
        <v>1.7</v>
      </c>
    </row>
    <row r="7">
      <c r="A7" s="8">
        <v>38961.0</v>
      </c>
      <c r="B7" s="9">
        <v>1.2</v>
      </c>
    </row>
    <row r="8">
      <c r="A8" s="8">
        <v>39052.0</v>
      </c>
      <c r="B8" s="9">
        <v>0.2</v>
      </c>
    </row>
    <row r="9">
      <c r="A9" s="8">
        <v>39142.0</v>
      </c>
      <c r="B9" s="9">
        <v>0.4</v>
      </c>
    </row>
    <row r="10">
      <c r="A10" s="8">
        <v>39234.0</v>
      </c>
      <c r="B10" s="9">
        <v>1.3</v>
      </c>
    </row>
    <row r="11">
      <c r="A11" s="8">
        <v>39326.0</v>
      </c>
      <c r="B11" s="9">
        <v>0.9</v>
      </c>
    </row>
    <row r="12">
      <c r="A12" s="8">
        <v>39417.0</v>
      </c>
      <c r="B12" s="9">
        <v>0.9</v>
      </c>
    </row>
    <row r="13">
      <c r="A13" s="8">
        <v>39508.0</v>
      </c>
      <c r="B13" s="9">
        <v>1.8</v>
      </c>
    </row>
    <row r="14">
      <c r="A14" s="8">
        <v>39600.0</v>
      </c>
      <c r="B14" s="9">
        <v>2.0</v>
      </c>
    </row>
    <row r="15">
      <c r="A15" s="8">
        <v>39692.0</v>
      </c>
      <c r="B15" s="9">
        <v>1.3</v>
      </c>
    </row>
    <row r="16">
      <c r="A16" s="8">
        <v>39783.0</v>
      </c>
      <c r="B16" s="9">
        <v>-0.6</v>
      </c>
    </row>
    <row r="17">
      <c r="A17" s="8">
        <v>39873.0</v>
      </c>
      <c r="B17" s="9">
        <v>-0.2</v>
      </c>
    </row>
    <row r="18">
      <c r="A18" s="8">
        <v>39965.0</v>
      </c>
      <c r="B18" s="9">
        <v>-1.2</v>
      </c>
    </row>
    <row r="19">
      <c r="A19" s="8">
        <v>40057.0</v>
      </c>
      <c r="B19" s="9">
        <v>1.0</v>
      </c>
    </row>
    <row r="20">
      <c r="A20" s="8">
        <v>40148.0</v>
      </c>
      <c r="B20" s="9">
        <v>0.8</v>
      </c>
    </row>
    <row r="21">
      <c r="A21" s="8">
        <v>40238.0</v>
      </c>
      <c r="B21" s="9">
        <v>1.4</v>
      </c>
    </row>
    <row r="22">
      <c r="A22" s="8">
        <v>40330.0</v>
      </c>
      <c r="B22" s="9">
        <v>1.3</v>
      </c>
    </row>
    <row r="23">
      <c r="A23" s="8">
        <v>40422.0</v>
      </c>
      <c r="B23" s="9">
        <v>1.2</v>
      </c>
    </row>
    <row r="24">
      <c r="A24" s="8">
        <v>40513.0</v>
      </c>
      <c r="B24" s="9">
        <v>0.6</v>
      </c>
    </row>
    <row r="25">
      <c r="A25" s="8">
        <v>40603.0</v>
      </c>
      <c r="B25" s="9">
        <v>1.7</v>
      </c>
    </row>
    <row r="26">
      <c r="A26" s="8">
        <v>40695.0</v>
      </c>
      <c r="B26" s="9">
        <v>1.0</v>
      </c>
    </row>
    <row r="27">
      <c r="A27" s="8">
        <v>40787.0</v>
      </c>
      <c r="B27" s="9">
        <v>0.6</v>
      </c>
    </row>
    <row r="28">
      <c r="A28" s="8">
        <v>40878.0</v>
      </c>
      <c r="B28" s="9">
        <v>0.0</v>
      </c>
    </row>
    <row r="29">
      <c r="A29" s="8">
        <v>40969.0</v>
      </c>
      <c r="B29" s="9">
        <v>-0.4</v>
      </c>
    </row>
    <row r="30">
      <c r="A30" s="8">
        <v>41061.0</v>
      </c>
      <c r="B30" s="9">
        <v>0.5</v>
      </c>
    </row>
    <row r="31">
      <c r="A31" s="8">
        <v>41153.0</v>
      </c>
      <c r="B31" s="9">
        <v>0.6</v>
      </c>
    </row>
    <row r="32">
      <c r="A32" s="8">
        <v>41244.0</v>
      </c>
      <c r="B32" s="9">
        <v>0.0</v>
      </c>
    </row>
    <row r="33">
      <c r="A33" s="8">
        <v>41334.0</v>
      </c>
      <c r="B33" s="9">
        <v>-0.1</v>
      </c>
    </row>
    <row r="34">
      <c r="A34" s="8">
        <v>41426.0</v>
      </c>
      <c r="B34" s="9">
        <v>0.2</v>
      </c>
    </row>
    <row r="35">
      <c r="A35" s="8">
        <v>41518.0</v>
      </c>
      <c r="B35" s="9">
        <v>0.8</v>
      </c>
    </row>
    <row r="36">
      <c r="A36" s="8">
        <v>41609.0</v>
      </c>
      <c r="B36" s="9">
        <v>0.4</v>
      </c>
    </row>
    <row r="37">
      <c r="A37" s="8">
        <v>41699.0</v>
      </c>
      <c r="B37" s="9">
        <v>0.7</v>
      </c>
    </row>
    <row r="38">
      <c r="A38" s="8">
        <v>41791.0</v>
      </c>
      <c r="B38" s="9">
        <v>0.4</v>
      </c>
    </row>
    <row r="39">
      <c r="A39" s="8">
        <v>41883.0</v>
      </c>
      <c r="B39" s="9">
        <v>0.4</v>
      </c>
    </row>
    <row r="40">
      <c r="A40" s="8">
        <v>41974.0</v>
      </c>
      <c r="B40" s="9">
        <v>0.1</v>
      </c>
    </row>
    <row r="41">
      <c r="A41" s="8">
        <v>42064.0</v>
      </c>
      <c r="B41" s="9">
        <v>0.0</v>
      </c>
    </row>
    <row r="42">
      <c r="A42" s="8">
        <v>42156.0</v>
      </c>
      <c r="B42" s="9">
        <v>0.4</v>
      </c>
    </row>
    <row r="43">
      <c r="A43" s="8">
        <v>42248.0</v>
      </c>
      <c r="B43" s="9">
        <v>0.2</v>
      </c>
    </row>
    <row r="44">
      <c r="A44" s="8">
        <v>42339.0</v>
      </c>
      <c r="B44" s="9">
        <v>0.5</v>
      </c>
    </row>
    <row r="45">
      <c r="A45" s="8">
        <v>42430.0</v>
      </c>
      <c r="B45" s="9">
        <v>0.0</v>
      </c>
    </row>
    <row r="46">
      <c r="A46" s="8">
        <v>42522.0</v>
      </c>
      <c r="B46" s="9">
        <v>0.3</v>
      </c>
    </row>
    <row r="47">
      <c r="A47" s="8">
        <v>42614.0</v>
      </c>
      <c r="B47" s="9">
        <v>0.5</v>
      </c>
    </row>
    <row r="48">
      <c r="A48" s="8">
        <v>42705.0</v>
      </c>
      <c r="B48" s="9">
        <v>0.3</v>
      </c>
    </row>
    <row r="49">
      <c r="A49" s="8">
        <v>42795.0</v>
      </c>
      <c r="B49" s="9">
        <v>0.5</v>
      </c>
    </row>
    <row r="50">
      <c r="A50" s="8">
        <v>42887.0</v>
      </c>
      <c r="B50" s="9">
        <v>0.1</v>
      </c>
    </row>
    <row r="51">
      <c r="A51" s="8">
        <v>42979.0</v>
      </c>
      <c r="B51" s="9">
        <v>0.7</v>
      </c>
    </row>
    <row r="52">
      <c r="A52" s="8">
        <v>43070.0</v>
      </c>
      <c r="B52" s="9">
        <v>0.7</v>
      </c>
    </row>
    <row r="53">
      <c r="A53" s="8">
        <v>43160.0</v>
      </c>
      <c r="B53" s="9">
        <v>0.5</v>
      </c>
    </row>
    <row r="54">
      <c r="A54" s="8">
        <v>43252.0</v>
      </c>
      <c r="B54" s="9">
        <v>0.4</v>
      </c>
    </row>
    <row r="55">
      <c r="A55" s="8">
        <v>43344.0</v>
      </c>
      <c r="B55" s="9">
        <v>0.4</v>
      </c>
    </row>
    <row r="56">
      <c r="A56" s="8">
        <v>43435.0</v>
      </c>
      <c r="B56" s="9">
        <v>0.6</v>
      </c>
    </row>
    <row r="57">
      <c r="A57" s="8">
        <v>43525.0</v>
      </c>
      <c r="B57" s="9">
        <v>0.0</v>
      </c>
    </row>
    <row r="58">
      <c r="A58" s="8">
        <v>43617.0</v>
      </c>
      <c r="B58" s="9">
        <v>0.5</v>
      </c>
    </row>
    <row r="59">
      <c r="A59" s="8">
        <v>43709.0</v>
      </c>
      <c r="B59" s="9">
        <v>0.1</v>
      </c>
    </row>
    <row r="60">
      <c r="A60" s="8">
        <v>43800.0</v>
      </c>
      <c r="B60" s="9">
        <v>0.4</v>
      </c>
    </row>
    <row r="61">
      <c r="A61" s="8">
        <v>43891.0</v>
      </c>
      <c r="B61" s="9">
        <v>0.1</v>
      </c>
    </row>
    <row r="62">
      <c r="A62" s="8">
        <v>43983.0</v>
      </c>
      <c r="B62" s="9">
        <v>-2.6</v>
      </c>
    </row>
    <row r="63">
      <c r="A63" s="8">
        <v>44075.0</v>
      </c>
      <c r="B63" s="9">
        <v>1.3</v>
      </c>
    </row>
    <row r="64">
      <c r="A64" s="8">
        <v>44166.0</v>
      </c>
      <c r="B64" s="9">
        <v>0.8</v>
      </c>
    </row>
    <row r="65">
      <c r="A65" s="8">
        <v>44256.0</v>
      </c>
      <c r="B65" s="9">
        <v>0.5</v>
      </c>
    </row>
    <row r="66">
      <c r="A66" s="8">
        <v>44348.0</v>
      </c>
      <c r="B66" s="9">
        <v>0.6</v>
      </c>
    </row>
    <row r="67">
      <c r="A67" s="8">
        <v>44440.0</v>
      </c>
      <c r="B67" s="9">
        <v>0.6</v>
      </c>
    </row>
    <row r="68">
      <c r="A68" s="8">
        <v>44531.0</v>
      </c>
      <c r="B68" s="9">
        <v>0.8</v>
      </c>
    </row>
    <row r="69">
      <c r="A69" s="8">
        <v>44621.0</v>
      </c>
      <c r="B69" s="9">
        <v>1.7</v>
      </c>
    </row>
    <row r="70">
      <c r="A70" s="8">
        <v>44713.0</v>
      </c>
      <c r="B70" s="9">
        <v>1.5</v>
      </c>
    </row>
    <row r="71">
      <c r="A71" s="8">
        <v>44805.0</v>
      </c>
      <c r="B71" s="9">
        <v>2.6</v>
      </c>
    </row>
    <row r="72">
      <c r="A72" s="8">
        <v>44896.0</v>
      </c>
      <c r="B72" s="9">
        <v>3.2</v>
      </c>
    </row>
    <row r="73">
      <c r="A73" s="8">
        <v>44986.0</v>
      </c>
      <c r="B73" s="9">
        <v>2.0</v>
      </c>
    </row>
    <row r="74">
      <c r="A74" s="8">
        <v>45078.0</v>
      </c>
      <c r="B74" s="9">
        <v>1.5</v>
      </c>
    </row>
    <row r="75">
      <c r="A75" s="8">
        <v>45170.0</v>
      </c>
      <c r="B75" s="9">
        <v>2.0</v>
      </c>
    </row>
    <row r="76">
      <c r="A76" s="8">
        <v>45261.0</v>
      </c>
      <c r="B76" s="9">
        <v>1.1</v>
      </c>
    </row>
    <row r="77">
      <c r="A77" s="8">
        <v>45352.0</v>
      </c>
      <c r="B77" s="9">
        <v>1.7</v>
      </c>
    </row>
    <row r="78">
      <c r="A78" s="8">
        <v>45444.0</v>
      </c>
      <c r="B78" s="9">
        <v>1.3</v>
      </c>
    </row>
    <row r="79">
      <c r="A79" s="8">
        <v>45536.0</v>
      </c>
      <c r="B79" s="9">
        <v>0.6</v>
      </c>
    </row>
    <row r="80">
      <c r="A80" s="8">
        <v>45627.0</v>
      </c>
      <c r="B80" s="9">
        <v>0.4</v>
      </c>
    </row>
    <row r="81">
      <c r="A81" s="8">
        <v>45717.0</v>
      </c>
      <c r="B81" s="9">
        <v>1.1</v>
      </c>
    </row>
    <row r="82">
      <c r="A82" s="8">
        <v>45809.0</v>
      </c>
      <c r="B82" s="9">
        <v>0.4</v>
      </c>
    </row>
    <row r="83">
      <c r="A83" s="8">
        <v>45901.0</v>
      </c>
      <c r="B83" s="9">
        <v>0.6</v>
      </c>
    </row>
  </sheetData>
  <mergeCells count="1">
    <mergeCell ref="C2:C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5"/>
  </cols>
  <sheetData>
    <row r="1">
      <c r="A1" s="2" t="s">
        <v>45</v>
      </c>
      <c r="B1" s="11" t="s">
        <v>47</v>
      </c>
    </row>
    <row r="2">
      <c r="A2" s="12">
        <v>43800.0</v>
      </c>
      <c r="B2" s="13">
        <v>0.7</v>
      </c>
    </row>
    <row r="3">
      <c r="A3" s="12">
        <v>43891.0</v>
      </c>
      <c r="B3" s="13">
        <v>0.4</v>
      </c>
    </row>
    <row r="4">
      <c r="A4" s="12">
        <v>43983.0</v>
      </c>
      <c r="B4" s="13">
        <v>-1.9</v>
      </c>
    </row>
    <row r="5">
      <c r="A5" s="12">
        <v>44075.0</v>
      </c>
      <c r="B5" s="13">
        <v>1.5</v>
      </c>
    </row>
    <row r="6">
      <c r="A6" s="12">
        <v>44166.0</v>
      </c>
      <c r="B6" s="13">
        <v>0.9</v>
      </c>
    </row>
    <row r="7">
      <c r="A7" s="12">
        <v>44256.0</v>
      </c>
      <c r="B7" s="13">
        <v>0.6</v>
      </c>
    </row>
    <row r="8">
      <c r="A8" s="12">
        <v>44348.0</v>
      </c>
      <c r="B8" s="13">
        <v>0.7</v>
      </c>
    </row>
    <row r="9">
      <c r="A9" s="12">
        <v>44440.0</v>
      </c>
      <c r="B9" s="13">
        <v>0.8</v>
      </c>
    </row>
    <row r="10">
      <c r="A10" s="12">
        <v>44531.0</v>
      </c>
      <c r="B10" s="13">
        <v>1.3</v>
      </c>
    </row>
    <row r="11">
      <c r="A11" s="12">
        <v>44621.0</v>
      </c>
      <c r="B11" s="13">
        <v>2.2</v>
      </c>
    </row>
    <row r="12">
      <c r="A12" s="12">
        <v>44713.0</v>
      </c>
      <c r="B12" s="13">
        <v>1.8</v>
      </c>
    </row>
    <row r="13">
      <c r="A13" s="12">
        <v>44805.0</v>
      </c>
      <c r="B13" s="13">
        <v>1.8</v>
      </c>
    </row>
    <row r="14">
      <c r="A14" s="12">
        <v>44896.0</v>
      </c>
      <c r="B14" s="13">
        <v>1.8</v>
      </c>
    </row>
    <row r="15">
      <c r="A15" s="12">
        <v>44986.0</v>
      </c>
      <c r="B15" s="13">
        <v>1.4</v>
      </c>
    </row>
    <row r="16">
      <c r="A16" s="12">
        <v>45078.0</v>
      </c>
      <c r="B16" s="13">
        <v>0.9</v>
      </c>
    </row>
    <row r="17">
      <c r="A17" s="12">
        <v>45170.0</v>
      </c>
      <c r="B17" s="13">
        <v>1.2</v>
      </c>
    </row>
    <row r="18">
      <c r="A18" s="12">
        <v>45261.0</v>
      </c>
      <c r="B18" s="13">
        <v>0.6</v>
      </c>
    </row>
    <row r="19">
      <c r="A19" s="12">
        <v>45352.0</v>
      </c>
      <c r="B19" s="13">
        <v>0.9</v>
      </c>
    </row>
    <row r="20">
      <c r="A20" s="12">
        <v>45444.0</v>
      </c>
      <c r="B20" s="13">
        <v>1.0</v>
      </c>
    </row>
    <row r="21">
      <c r="A21" s="12">
        <v>45536.0</v>
      </c>
      <c r="B21" s="13">
        <v>0.2</v>
      </c>
    </row>
    <row r="22">
      <c r="A22" s="12">
        <v>45627.0</v>
      </c>
      <c r="B22" s="13">
        <v>0.2</v>
      </c>
    </row>
    <row r="23">
      <c r="A23" s="12">
        <v>45717.0</v>
      </c>
      <c r="B23" s="13">
        <v>0.9</v>
      </c>
    </row>
    <row r="24">
      <c r="A24" s="12">
        <v>45809.0</v>
      </c>
      <c r="B24" s="13">
        <v>0.7</v>
      </c>
    </row>
    <row r="25">
      <c r="A25" s="12">
        <v>45901.0</v>
      </c>
      <c r="B25" s="13">
        <v>1.3</v>
      </c>
    </row>
    <row r="26">
      <c r="A26" s="12">
        <v>45992.0</v>
      </c>
      <c r="B26" s="13">
        <v>0.6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4" width="22.75"/>
    <col customWidth="1" min="5" max="5" width="23.88"/>
    <col customWidth="1" min="6" max="6" width="25.88"/>
    <col customWidth="1" min="7" max="7" width="22.88"/>
    <col customWidth="1" min="8" max="8" width="26.5"/>
    <col customWidth="1" min="9" max="9" width="23.88"/>
    <col customWidth="1" min="10" max="10" width="14.63"/>
    <col customWidth="1" min="11" max="11" width="22.88"/>
    <col customWidth="1" min="12" max="12" width="16.25"/>
    <col customWidth="1" min="13" max="13" width="23.88"/>
    <col customWidth="1" min="14" max="14" width="14.63"/>
    <col customWidth="1" min="15" max="15" width="22.88"/>
    <col customWidth="1" min="16" max="16" width="15.0"/>
    <col customWidth="1" min="17" max="17" width="22.63"/>
    <col customWidth="1" min="18" max="18" width="13.38"/>
    <col customWidth="1" min="19" max="19" width="21.5"/>
    <col customWidth="1" min="20" max="20" width="15.0"/>
    <col customWidth="1" min="21" max="21" width="22.63"/>
    <col customWidth="1" min="22" max="22" width="13.38"/>
    <col customWidth="1" min="23" max="23" width="21.5"/>
  </cols>
  <sheetData>
    <row r="1">
      <c r="A1" s="2" t="s">
        <v>48</v>
      </c>
      <c r="B1" s="2" t="s">
        <v>49</v>
      </c>
      <c r="C1" s="2" t="s">
        <v>50</v>
      </c>
      <c r="D1" s="2" t="s">
        <v>51</v>
      </c>
      <c r="E1" s="2" t="s">
        <v>52</v>
      </c>
      <c r="F1" s="2" t="s">
        <v>53</v>
      </c>
      <c r="G1" s="2" t="s">
        <v>54</v>
      </c>
      <c r="H1" s="2" t="s">
        <v>55</v>
      </c>
      <c r="I1" s="2" t="s">
        <v>56</v>
      </c>
      <c r="J1" s="2" t="s">
        <v>57</v>
      </c>
      <c r="K1" s="2" t="s">
        <v>58</v>
      </c>
      <c r="L1" s="2" t="s">
        <v>59</v>
      </c>
      <c r="M1" s="2" t="s">
        <v>60</v>
      </c>
      <c r="N1" s="2" t="s">
        <v>61</v>
      </c>
      <c r="O1" s="2" t="s">
        <v>62</v>
      </c>
      <c r="P1" s="2" t="s">
        <v>63</v>
      </c>
      <c r="Q1" s="2" t="s">
        <v>64</v>
      </c>
      <c r="R1" s="2" t="s">
        <v>65</v>
      </c>
      <c r="S1" s="2" t="s">
        <v>66</v>
      </c>
      <c r="T1" s="2" t="s">
        <v>67</v>
      </c>
      <c r="U1" s="2" t="s">
        <v>68</v>
      </c>
      <c r="V1" s="2" t="s">
        <v>69</v>
      </c>
      <c r="W1" s="2" t="s">
        <v>70</v>
      </c>
    </row>
    <row r="2">
      <c r="A2" s="1">
        <v>43800.0</v>
      </c>
      <c r="B2" s="14">
        <f t="array" ref="B2">XLOOKUP(A2, SLCI!A:A, SLCI!B:B, "missing", -1)/3</f>
        <v>0.1333333333</v>
      </c>
      <c r="C2" s="14">
        <f t="array" ref="C2">XLOOKUP(A2, CPI!A:A, CPI!B:B, "missing", -1)/3</f>
        <v>0.2333333333</v>
      </c>
      <c r="D2" s="4">
        <f t="array" ref="D2">XLOOKUP(A2, 'Transposed Data'!A:A, 'Transposed Data'!R:R, "missing", -1)/12</f>
        <v>5997</v>
      </c>
      <c r="E2" s="4">
        <v>5997.0</v>
      </c>
      <c r="F2" s="4">
        <f>D2-E2</f>
        <v>0</v>
      </c>
      <c r="G2" s="4">
        <f>F2</f>
        <v>0</v>
      </c>
      <c r="H2" s="4">
        <f t="array" ref="H2">XLOOKUP(A2, 'Transposed Data'!A:A, 'Transposed Data'!V:V, "missing", -1)/12</f>
        <v>6741.416667</v>
      </c>
      <c r="I2" s="4">
        <v>6741.416666666667</v>
      </c>
      <c r="J2" s="4">
        <f t="shared" ref="J2:J88" si="1">I2-H2</f>
        <v>0</v>
      </c>
      <c r="K2" s="4">
        <f>J2</f>
        <v>0</v>
      </c>
      <c r="L2" s="4">
        <f t="array" ref="L2">XLOOKUP(A2, 'Transposed Data'!A:A, 'Transposed Data'!AA:AA, "missing", -1)/12</f>
        <v>8151.333333</v>
      </c>
      <c r="M2" s="4">
        <v>8151.333333333333</v>
      </c>
      <c r="N2" s="4">
        <f t="shared" ref="N2:N88" si="2">M2-L2</f>
        <v>0</v>
      </c>
      <c r="O2" s="4">
        <f>N2</f>
        <v>0</v>
      </c>
      <c r="P2" s="4">
        <f t="array" ref="P2">XLOOKUP(A2, 'Transposed Data'!A:A, 'Transposed Data'!AF:AF, "missing", -1)/12</f>
        <v>9582.083333</v>
      </c>
      <c r="Q2" s="4">
        <v>9582.083333333334</v>
      </c>
      <c r="R2" s="4">
        <f t="shared" ref="R2:R88" si="3">Q2-P2</f>
        <v>0</v>
      </c>
      <c r="S2" s="4">
        <f>R2</f>
        <v>0</v>
      </c>
      <c r="T2" s="4">
        <f t="array" ref="T2">XLOOKUP(A2, 'Transposed Data'!A:A, 'Transposed Data'!AL:AL, "missing", -1)/12</f>
        <v>12553.58333</v>
      </c>
      <c r="U2" s="4">
        <v>12553.583333333334</v>
      </c>
      <c r="V2" s="4">
        <f t="shared" ref="V2:V88" si="4">U2-T2</f>
        <v>0</v>
      </c>
      <c r="W2" s="4">
        <f>V2</f>
        <v>0</v>
      </c>
    </row>
    <row r="3">
      <c r="A3" s="1">
        <v>43831.0</v>
      </c>
      <c r="B3" s="14">
        <f t="array" ref="B3">XLOOKUP(A3, SLCI!A:A, SLCI!B:B, "missing", -1)/3</f>
        <v>0.1333333333</v>
      </c>
      <c r="C3" s="14">
        <f t="array" ref="C3">XLOOKUP(A3, CPI!A:A, CPI!B:B, "missing", -1)/3</f>
        <v>0.2333333333</v>
      </c>
      <c r="D3" s="4">
        <f t="array" ref="D3">XLOOKUP(A3, 'Transposed Data'!A:A, 'Transposed Data'!R:R, "missing", -1)/12</f>
        <v>5997</v>
      </c>
      <c r="E3" s="4">
        <f t="shared" ref="E3:E88" si="5">E2+(E2*(B3/100))</f>
        <v>6004.996</v>
      </c>
      <c r="F3" s="4">
        <f t="shared" ref="F3:F88" si="6">E3-D3</f>
        <v>7.996</v>
      </c>
      <c r="G3" s="4">
        <f t="shared" ref="G3:G88" si="7">G2+F3</f>
        <v>7.996</v>
      </c>
      <c r="H3" s="4">
        <f t="array" ref="H3">XLOOKUP(A3, 'Transposed Data'!A:A, 'Transposed Data'!V:V, "missing", -1)/12</f>
        <v>6741.416667</v>
      </c>
      <c r="I3" s="4">
        <f t="shared" ref="I3:I88" si="8">I2+(I2*(B3/100))</f>
        <v>6750.405222</v>
      </c>
      <c r="J3" s="4">
        <f t="shared" si="1"/>
        <v>8.988555556</v>
      </c>
      <c r="K3" s="4">
        <f t="shared" ref="K3:K88" si="9">K2+J3</f>
        <v>8.988555556</v>
      </c>
      <c r="L3" s="4">
        <f t="array" ref="L3">XLOOKUP(A3, 'Transposed Data'!A:A, 'Transposed Data'!AA:AA, "missing", -1)/12</f>
        <v>8151.333333</v>
      </c>
      <c r="M3" s="4">
        <f t="shared" ref="M3:M88" si="10">M2+(M2*(B3/100))</f>
        <v>8162.201778</v>
      </c>
      <c r="N3" s="4">
        <f t="shared" si="2"/>
        <v>10.86844444</v>
      </c>
      <c r="O3" s="4">
        <f t="shared" ref="O3:O88" si="11">O2+N3</f>
        <v>10.86844444</v>
      </c>
      <c r="P3" s="4">
        <f t="array" ref="P3">XLOOKUP(A3, 'Transposed Data'!A:A, 'Transposed Data'!AF:AF, "missing", -1)/12</f>
        <v>9582.083333</v>
      </c>
      <c r="Q3" s="4">
        <f t="shared" ref="Q3:Q88" si="12">Q2+(Q2*(B3/100))</f>
        <v>9594.859444</v>
      </c>
      <c r="R3" s="4">
        <f t="shared" si="3"/>
        <v>12.77611111</v>
      </c>
      <c r="S3" s="4">
        <f t="shared" ref="S3:S88" si="13">S2+R3</f>
        <v>12.77611111</v>
      </c>
      <c r="T3" s="4">
        <f t="array" ref="T3">XLOOKUP(A3, 'Transposed Data'!A:A, 'Transposed Data'!AL:AL, "missing", -1)/12</f>
        <v>12553.58333</v>
      </c>
      <c r="U3" s="4">
        <f t="shared" ref="U3:U88" si="14">U2+(U2*(B3/100))</f>
        <v>12570.32144</v>
      </c>
      <c r="V3" s="4">
        <f t="shared" si="4"/>
        <v>16.73811111</v>
      </c>
      <c r="W3" s="4">
        <f t="shared" ref="W3:W88" si="15">W2+V3</f>
        <v>16.73811111</v>
      </c>
    </row>
    <row r="4">
      <c r="A4" s="1">
        <v>43862.0</v>
      </c>
      <c r="B4" s="14">
        <f t="array" ref="B4">XLOOKUP(A4, SLCI!A:A, SLCI!B:B, "missing", -1)/3</f>
        <v>0.1333333333</v>
      </c>
      <c r="C4" s="14">
        <f t="array" ref="C4">XLOOKUP(A4, CPI!A:A, CPI!B:B, "missing", -1)/3</f>
        <v>0.2333333333</v>
      </c>
      <c r="D4" s="4">
        <f t="array" ref="D4">XLOOKUP(A4, 'Transposed Data'!A:A, 'Transposed Data'!R:R, "missing", -1)/12</f>
        <v>5997</v>
      </c>
      <c r="E4" s="4">
        <f t="shared" si="5"/>
        <v>6013.002661</v>
      </c>
      <c r="F4" s="4">
        <f t="shared" si="6"/>
        <v>16.00266133</v>
      </c>
      <c r="G4" s="4">
        <f t="shared" si="7"/>
        <v>23.99866133</v>
      </c>
      <c r="H4" s="4">
        <f t="array" ref="H4">XLOOKUP(A4, 'Transposed Data'!A:A, 'Transposed Data'!V:V, "missing", -1)/12</f>
        <v>6741.416667</v>
      </c>
      <c r="I4" s="4">
        <f t="shared" si="8"/>
        <v>6759.405763</v>
      </c>
      <c r="J4" s="4">
        <f t="shared" si="1"/>
        <v>17.98909585</v>
      </c>
      <c r="K4" s="4">
        <f t="shared" si="9"/>
        <v>26.97765141</v>
      </c>
      <c r="L4" s="4">
        <f t="array" ref="L4">XLOOKUP(A4, 'Transposed Data'!A:A, 'Transposed Data'!AA:AA, "missing", -1)/12</f>
        <v>8151.333333</v>
      </c>
      <c r="M4" s="4">
        <f t="shared" si="10"/>
        <v>8173.084713</v>
      </c>
      <c r="N4" s="4">
        <f t="shared" si="2"/>
        <v>21.75138015</v>
      </c>
      <c r="O4" s="4">
        <f t="shared" si="11"/>
        <v>32.61982459</v>
      </c>
      <c r="P4" s="4">
        <f t="array" ref="P4">XLOOKUP(A4, 'Transposed Data'!A:A, 'Transposed Data'!AF:AF, "missing", -1)/12</f>
        <v>9582.083333</v>
      </c>
      <c r="Q4" s="4">
        <f t="shared" si="12"/>
        <v>9607.65259</v>
      </c>
      <c r="R4" s="4">
        <f t="shared" si="3"/>
        <v>25.56925704</v>
      </c>
      <c r="S4" s="4">
        <f t="shared" si="13"/>
        <v>38.34536815</v>
      </c>
      <c r="T4" s="4">
        <f t="array" ref="T4">XLOOKUP(A4, 'Transposed Data'!A:A, 'Transposed Data'!AL:AL, "missing", -1)/12</f>
        <v>12553.58333</v>
      </c>
      <c r="U4" s="4">
        <f t="shared" si="14"/>
        <v>12587.08187</v>
      </c>
      <c r="V4" s="4">
        <f t="shared" si="4"/>
        <v>33.4985397</v>
      </c>
      <c r="W4" s="4">
        <f t="shared" si="15"/>
        <v>50.23665081</v>
      </c>
    </row>
    <row r="5">
      <c r="A5" s="1">
        <v>43891.0</v>
      </c>
      <c r="B5" s="14">
        <f t="array" ref="B5">XLOOKUP(A5, SLCI!A:A, SLCI!B:B, "missing", -1)/3</f>
        <v>0.03333333333</v>
      </c>
      <c r="C5" s="14">
        <f t="array" ref="C5">XLOOKUP(A5, CPI!A:A, CPI!B:B, "missing", -1)/3</f>
        <v>0.1333333333</v>
      </c>
      <c r="D5" s="4">
        <f t="array" ref="D5">XLOOKUP(A5, 'Transposed Data'!A:A, 'Transposed Data'!R:R, "missing", -1)/12</f>
        <v>5997</v>
      </c>
      <c r="E5" s="4">
        <f t="shared" si="5"/>
        <v>6015.006996</v>
      </c>
      <c r="F5" s="4">
        <f t="shared" si="6"/>
        <v>18.00699555</v>
      </c>
      <c r="G5" s="4">
        <f t="shared" si="7"/>
        <v>42.00565689</v>
      </c>
      <c r="H5" s="4">
        <f t="array" ref="H5">XLOOKUP(A5, 'Transposed Data'!A:A, 'Transposed Data'!V:V, "missing", -1)/12</f>
        <v>6741.416667</v>
      </c>
      <c r="I5" s="4">
        <f t="shared" si="8"/>
        <v>6761.658898</v>
      </c>
      <c r="J5" s="4">
        <f t="shared" si="1"/>
        <v>20.24223111</v>
      </c>
      <c r="K5" s="4">
        <f t="shared" si="9"/>
        <v>47.21988251</v>
      </c>
      <c r="L5" s="4">
        <f t="array" ref="L5">XLOOKUP(A5, 'Transposed Data'!A:A, 'Transposed Data'!AA:AA, "missing", -1)/12</f>
        <v>8151.333333</v>
      </c>
      <c r="M5" s="4">
        <f t="shared" si="10"/>
        <v>8175.809075</v>
      </c>
      <c r="N5" s="4">
        <f t="shared" si="2"/>
        <v>24.47574172</v>
      </c>
      <c r="O5" s="4">
        <f t="shared" si="11"/>
        <v>57.09556631</v>
      </c>
      <c r="P5" s="4">
        <f t="array" ref="P5">XLOOKUP(A5, 'Transposed Data'!A:A, 'Transposed Data'!AF:AF, "missing", -1)/12</f>
        <v>9582.083333</v>
      </c>
      <c r="Q5" s="4">
        <f t="shared" si="12"/>
        <v>9610.855141</v>
      </c>
      <c r="R5" s="4">
        <f t="shared" si="3"/>
        <v>28.7718079</v>
      </c>
      <c r="S5" s="4">
        <f t="shared" si="13"/>
        <v>67.11717605</v>
      </c>
      <c r="T5" s="4">
        <f t="array" ref="T5">XLOOKUP(A5, 'Transposed Data'!A:A, 'Transposed Data'!AL:AL, "missing", -1)/12</f>
        <v>12553.58333</v>
      </c>
      <c r="U5" s="4">
        <f t="shared" si="14"/>
        <v>12591.27757</v>
      </c>
      <c r="V5" s="4">
        <f t="shared" si="4"/>
        <v>37.69423366</v>
      </c>
      <c r="W5" s="4">
        <f t="shared" si="15"/>
        <v>87.93088448</v>
      </c>
    </row>
    <row r="6">
      <c r="A6" s="1">
        <v>43922.0</v>
      </c>
      <c r="B6" s="14">
        <f t="array" ref="B6">XLOOKUP(A6, SLCI!A:A, SLCI!B:B, "missing", -1)/3</f>
        <v>0.03333333333</v>
      </c>
      <c r="C6" s="14">
        <f t="array" ref="C6">XLOOKUP(A6, CPI!A:A, CPI!B:B, "missing", -1)/3</f>
        <v>0.1333333333</v>
      </c>
      <c r="D6" s="4">
        <f t="array" ref="D6">XLOOKUP(A6, 'Transposed Data'!A:A, 'Transposed Data'!R:R, "missing", -1)/12</f>
        <v>5997</v>
      </c>
      <c r="E6" s="4">
        <f t="shared" si="5"/>
        <v>6017.011998</v>
      </c>
      <c r="F6" s="4">
        <f t="shared" si="6"/>
        <v>20.01199789</v>
      </c>
      <c r="G6" s="4">
        <f t="shared" si="7"/>
        <v>62.01765477</v>
      </c>
      <c r="H6" s="4">
        <f t="array" ref="H6">XLOOKUP(A6, 'Transposed Data'!A:A, 'Transposed Data'!V:V, "missing", -1)/12</f>
        <v>6741.416667</v>
      </c>
      <c r="I6" s="4">
        <f t="shared" si="8"/>
        <v>6763.912784</v>
      </c>
      <c r="J6" s="4">
        <f t="shared" si="1"/>
        <v>22.49611741</v>
      </c>
      <c r="K6" s="4">
        <f t="shared" si="9"/>
        <v>69.71599992</v>
      </c>
      <c r="L6" s="4">
        <f t="array" ref="L6">XLOOKUP(A6, 'Transposed Data'!A:A, 'Transposed Data'!AA:AA, "missing", -1)/12</f>
        <v>8151.333333</v>
      </c>
      <c r="M6" s="4">
        <f t="shared" si="10"/>
        <v>8178.534345</v>
      </c>
      <c r="N6" s="4">
        <f t="shared" si="2"/>
        <v>27.20101141</v>
      </c>
      <c r="O6" s="4">
        <f t="shared" si="11"/>
        <v>84.29657772</v>
      </c>
      <c r="P6" s="4">
        <f t="array" ref="P6">XLOOKUP(A6, 'Transposed Data'!A:A, 'Transposed Data'!AF:AF, "missing", -1)/12</f>
        <v>9582.083333</v>
      </c>
      <c r="Q6" s="4">
        <f t="shared" si="12"/>
        <v>9614.05876</v>
      </c>
      <c r="R6" s="4">
        <f t="shared" si="3"/>
        <v>31.97542628</v>
      </c>
      <c r="S6" s="4">
        <f t="shared" si="13"/>
        <v>99.09260233</v>
      </c>
      <c r="T6" s="4">
        <f t="array" ref="T6">XLOOKUP(A6, 'Transposed Data'!A:A, 'Transposed Data'!AL:AL, "missing", -1)/12</f>
        <v>12553.58333</v>
      </c>
      <c r="U6" s="4">
        <f t="shared" si="14"/>
        <v>12595.47466</v>
      </c>
      <c r="V6" s="4">
        <f t="shared" si="4"/>
        <v>41.89132618</v>
      </c>
      <c r="W6" s="4">
        <f t="shared" si="15"/>
        <v>129.8222107</v>
      </c>
    </row>
    <row r="7">
      <c r="A7" s="1">
        <v>43952.0</v>
      </c>
      <c r="B7" s="14">
        <f t="array" ref="B7">XLOOKUP(A7, SLCI!A:A, SLCI!B:B, "missing", -1)/3</f>
        <v>0.03333333333</v>
      </c>
      <c r="C7" s="14">
        <f t="array" ref="C7">XLOOKUP(A7, CPI!A:A, CPI!B:B, "missing", -1)/3</f>
        <v>0.1333333333</v>
      </c>
      <c r="D7" s="4">
        <f t="array" ref="D7">XLOOKUP(A7, 'Transposed Data'!A:A, 'Transposed Data'!R:R, "missing", -1)/12</f>
        <v>5997</v>
      </c>
      <c r="E7" s="4">
        <f t="shared" si="5"/>
        <v>6019.017669</v>
      </c>
      <c r="F7" s="4">
        <f t="shared" si="6"/>
        <v>22.01766855</v>
      </c>
      <c r="G7" s="4">
        <f t="shared" si="7"/>
        <v>84.03532332</v>
      </c>
      <c r="H7" s="4">
        <f t="array" ref="H7">XLOOKUP(A7, 'Transposed Data'!A:A, 'Transposed Data'!V:V, "missing", -1)/12</f>
        <v>6741.416667</v>
      </c>
      <c r="I7" s="4">
        <f t="shared" si="8"/>
        <v>6766.167422</v>
      </c>
      <c r="J7" s="4">
        <f t="shared" si="1"/>
        <v>24.750755</v>
      </c>
      <c r="K7" s="4">
        <f t="shared" si="9"/>
        <v>94.46675492</v>
      </c>
      <c r="L7" s="4">
        <f t="array" ref="L7">XLOOKUP(A7, 'Transposed Data'!A:A, 'Transposed Data'!AA:AA, "missing", -1)/12</f>
        <v>8151.333333</v>
      </c>
      <c r="M7" s="4">
        <f t="shared" si="10"/>
        <v>8181.260523</v>
      </c>
      <c r="N7" s="4">
        <f t="shared" si="2"/>
        <v>29.92718953</v>
      </c>
      <c r="O7" s="4">
        <f t="shared" si="11"/>
        <v>114.2237672</v>
      </c>
      <c r="P7" s="4">
        <f t="array" ref="P7">XLOOKUP(A7, 'Transposed Data'!A:A, 'Transposed Data'!AF:AF, "missing", -1)/12</f>
        <v>9582.083333</v>
      </c>
      <c r="Q7" s="4">
        <f t="shared" si="12"/>
        <v>9617.263446</v>
      </c>
      <c r="R7" s="4">
        <f t="shared" si="3"/>
        <v>35.18011253</v>
      </c>
      <c r="S7" s="4">
        <f t="shared" si="13"/>
        <v>134.2727149</v>
      </c>
      <c r="T7" s="4">
        <f t="array" ref="T7">XLOOKUP(A7, 'Transposed Data'!A:A, 'Transposed Data'!AL:AL, "missing", -1)/12</f>
        <v>12553.58333</v>
      </c>
      <c r="U7" s="4">
        <f t="shared" si="14"/>
        <v>12599.67315</v>
      </c>
      <c r="V7" s="4">
        <f t="shared" si="4"/>
        <v>46.08981774</v>
      </c>
      <c r="W7" s="4">
        <f t="shared" si="15"/>
        <v>175.9120284</v>
      </c>
    </row>
    <row r="8">
      <c r="A8" s="1">
        <v>43983.0</v>
      </c>
      <c r="B8" s="14">
        <f t="array" ref="B8">XLOOKUP(A8, SLCI!A:A, SLCI!B:B, "missing", -1)/3</f>
        <v>-0.8666666667</v>
      </c>
      <c r="C8" s="14">
        <f t="array" ref="C8">XLOOKUP(A8, CPI!A:A, CPI!B:B, "missing", -1)/3</f>
        <v>-0.6333333333</v>
      </c>
      <c r="D8" s="4">
        <f t="array" ref="D8">XLOOKUP(A8, 'Transposed Data'!A:A, 'Transposed Data'!R:R, "missing", -1)/12</f>
        <v>5997</v>
      </c>
      <c r="E8" s="4">
        <f t="shared" si="5"/>
        <v>5966.852849</v>
      </c>
      <c r="F8" s="4">
        <f t="shared" si="6"/>
        <v>-30.14715124</v>
      </c>
      <c r="G8" s="4">
        <f t="shared" si="7"/>
        <v>53.88817208</v>
      </c>
      <c r="H8" s="4">
        <f t="array" ref="H8">XLOOKUP(A8, 'Transposed Data'!A:A, 'Transposed Data'!V:V, "missing", -1)/12</f>
        <v>6741.416667</v>
      </c>
      <c r="I8" s="4">
        <f t="shared" si="8"/>
        <v>6707.527304</v>
      </c>
      <c r="J8" s="4">
        <f t="shared" si="1"/>
        <v>-33.88936265</v>
      </c>
      <c r="K8" s="4">
        <f t="shared" si="9"/>
        <v>60.57739226</v>
      </c>
      <c r="L8" s="4">
        <f t="array" ref="L8">XLOOKUP(A8, 'Transposed Data'!A:A, 'Transposed Data'!AA:AA, "missing", -1)/12</f>
        <v>8151.333333</v>
      </c>
      <c r="M8" s="4">
        <f t="shared" si="10"/>
        <v>8110.356265</v>
      </c>
      <c r="N8" s="4">
        <f t="shared" si="2"/>
        <v>-40.97706834</v>
      </c>
      <c r="O8" s="4">
        <f t="shared" si="11"/>
        <v>73.24669891</v>
      </c>
      <c r="P8" s="4">
        <f t="array" ref="P8">XLOOKUP(A8, 'Transposed Data'!A:A, 'Transposed Data'!AF:AF, "missing", -1)/12</f>
        <v>9582.083333</v>
      </c>
      <c r="Q8" s="4">
        <f t="shared" si="12"/>
        <v>9533.913829</v>
      </c>
      <c r="R8" s="4">
        <f t="shared" si="3"/>
        <v>-48.169504</v>
      </c>
      <c r="S8" s="4">
        <f t="shared" si="13"/>
        <v>86.10321087</v>
      </c>
      <c r="T8" s="4">
        <f t="array" ref="T8">XLOOKUP(A8, 'Transposed Data'!A:A, 'Transposed Data'!AL:AL, "missing", -1)/12</f>
        <v>12553.58333</v>
      </c>
      <c r="U8" s="4">
        <f t="shared" si="14"/>
        <v>12490.47598</v>
      </c>
      <c r="V8" s="4">
        <f t="shared" si="4"/>
        <v>-63.10734957</v>
      </c>
      <c r="W8" s="4">
        <f t="shared" si="15"/>
        <v>112.8046788</v>
      </c>
    </row>
    <row r="9">
      <c r="A9" s="1">
        <v>44013.0</v>
      </c>
      <c r="B9" s="14">
        <f t="array" ref="B9">XLOOKUP(A9, SLCI!A:A, SLCI!B:B, "missing", -1)/3</f>
        <v>-0.8666666667</v>
      </c>
      <c r="C9" s="14">
        <f t="array" ref="C9">XLOOKUP(A9, CPI!A:A, CPI!B:B, "missing", -1)/3</f>
        <v>-0.6333333333</v>
      </c>
      <c r="D9" s="4">
        <f t="array" ref="D9">XLOOKUP(A9, 'Transposed Data'!A:A, 'Transposed Data'!R:R, "missing", -1)/12</f>
        <v>6116.916667</v>
      </c>
      <c r="E9" s="4">
        <f t="shared" si="5"/>
        <v>5915.140124</v>
      </c>
      <c r="F9" s="4">
        <f t="shared" si="6"/>
        <v>-201.7765426</v>
      </c>
      <c r="G9" s="4">
        <f t="shared" si="7"/>
        <v>-147.8883705</v>
      </c>
      <c r="H9" s="4">
        <f t="array" ref="H9">XLOOKUP(A9, 'Transposed Data'!A:A, 'Transposed Data'!V:V, "missing", -1)/12</f>
        <v>6876.25</v>
      </c>
      <c r="I9" s="4">
        <f t="shared" si="8"/>
        <v>6649.395401</v>
      </c>
      <c r="J9" s="4">
        <f t="shared" si="1"/>
        <v>-226.8545993</v>
      </c>
      <c r="K9" s="4">
        <f t="shared" si="9"/>
        <v>-166.277207</v>
      </c>
      <c r="L9" s="4">
        <f t="array" ref="L9">XLOOKUP(A9, 'Transposed Data'!A:A, 'Transposed Data'!AA:AA, "missing", -1)/12</f>
        <v>8314.333333</v>
      </c>
      <c r="M9" s="4">
        <f t="shared" si="10"/>
        <v>8040.066511</v>
      </c>
      <c r="N9" s="4">
        <f t="shared" si="2"/>
        <v>-274.2668226</v>
      </c>
      <c r="O9" s="4">
        <f t="shared" si="11"/>
        <v>-201.0201237</v>
      </c>
      <c r="P9" s="4">
        <f t="array" ref="P9">XLOOKUP(A9, 'Transposed Data'!A:A, 'Transposed Data'!AF:AF, "missing", -1)/12</f>
        <v>9773.75</v>
      </c>
      <c r="Q9" s="4">
        <f t="shared" si="12"/>
        <v>9451.286576</v>
      </c>
      <c r="R9" s="4">
        <f t="shared" si="3"/>
        <v>-322.4634239</v>
      </c>
      <c r="S9" s="4">
        <f t="shared" si="13"/>
        <v>-236.360213</v>
      </c>
      <c r="T9" s="4">
        <f t="array" ref="T9">XLOOKUP(A9, 'Transposed Data'!A:A, 'Transposed Data'!AL:AL, "missing", -1)/12</f>
        <v>12804.66667</v>
      </c>
      <c r="U9" s="4">
        <f t="shared" si="14"/>
        <v>12382.22519</v>
      </c>
      <c r="V9" s="4">
        <f t="shared" si="4"/>
        <v>-422.4414748</v>
      </c>
      <c r="W9" s="4">
        <f t="shared" si="15"/>
        <v>-309.6367959</v>
      </c>
    </row>
    <row r="10">
      <c r="A10" s="1">
        <v>44044.0</v>
      </c>
      <c r="B10" s="14">
        <f t="array" ref="B10">XLOOKUP(A10, SLCI!A:A, SLCI!B:B, "missing", -1)/3</f>
        <v>-0.8666666667</v>
      </c>
      <c r="C10" s="14">
        <f t="array" ref="C10">XLOOKUP(A10, CPI!A:A, CPI!B:B, "missing", -1)/3</f>
        <v>-0.6333333333</v>
      </c>
      <c r="D10" s="4">
        <f t="array" ref="D10">XLOOKUP(A10, 'Transposed Data'!A:A, 'Transposed Data'!R:R, "missing", -1)/12</f>
        <v>6116.916667</v>
      </c>
      <c r="E10" s="4">
        <f t="shared" si="5"/>
        <v>5863.875576</v>
      </c>
      <c r="F10" s="4">
        <f t="shared" si="6"/>
        <v>-253.0410903</v>
      </c>
      <c r="G10" s="4">
        <f t="shared" si="7"/>
        <v>-400.9294609</v>
      </c>
      <c r="H10" s="4">
        <f t="array" ref="H10">XLOOKUP(A10, 'Transposed Data'!A:A, 'Transposed Data'!V:V, "missing", -1)/12</f>
        <v>6876.25</v>
      </c>
      <c r="I10" s="4">
        <f t="shared" si="8"/>
        <v>6591.767307</v>
      </c>
      <c r="J10" s="4">
        <f t="shared" si="1"/>
        <v>-284.4826928</v>
      </c>
      <c r="K10" s="4">
        <f t="shared" si="9"/>
        <v>-450.7598998</v>
      </c>
      <c r="L10" s="4">
        <f t="array" ref="L10">XLOOKUP(A10, 'Transposed Data'!A:A, 'Transposed Data'!AA:AA, "missing", -1)/12</f>
        <v>8314.333333</v>
      </c>
      <c r="M10" s="4">
        <f t="shared" si="10"/>
        <v>7970.385934</v>
      </c>
      <c r="N10" s="4">
        <f t="shared" si="2"/>
        <v>-343.9473991</v>
      </c>
      <c r="O10" s="4">
        <f t="shared" si="11"/>
        <v>-544.9675228</v>
      </c>
      <c r="P10" s="4">
        <f t="array" ref="P10">XLOOKUP(A10, 'Transposed Data'!A:A, 'Transposed Data'!AF:AF, "missing", -1)/12</f>
        <v>9773.75</v>
      </c>
      <c r="Q10" s="4">
        <f t="shared" si="12"/>
        <v>9369.375426</v>
      </c>
      <c r="R10" s="4">
        <f t="shared" si="3"/>
        <v>-404.3745742</v>
      </c>
      <c r="S10" s="4">
        <f t="shared" si="13"/>
        <v>-640.7347872</v>
      </c>
      <c r="T10" s="4">
        <f t="array" ref="T10">XLOOKUP(A10, 'Transposed Data'!A:A, 'Transposed Data'!AL:AL, "missing", -1)/12</f>
        <v>12804.66667</v>
      </c>
      <c r="U10" s="4">
        <f t="shared" si="14"/>
        <v>12274.91257</v>
      </c>
      <c r="V10" s="4">
        <f t="shared" si="4"/>
        <v>-529.7540931</v>
      </c>
      <c r="W10" s="4">
        <f t="shared" si="15"/>
        <v>-839.390889</v>
      </c>
    </row>
    <row r="11">
      <c r="A11" s="1">
        <v>44075.0</v>
      </c>
      <c r="B11" s="14">
        <f t="array" ref="B11">XLOOKUP(A11, SLCI!A:A, SLCI!B:B, "missing", -1)/3</f>
        <v>0.4333333333</v>
      </c>
      <c r="C11" s="14">
        <f t="array" ref="C11">XLOOKUP(A11, CPI!A:A, CPI!B:B, "missing", -1)/3</f>
        <v>0.5</v>
      </c>
      <c r="D11" s="4">
        <f t="array" ref="D11">XLOOKUP(A11, 'Transposed Data'!A:A, 'Transposed Data'!R:R, "missing", -1)/12</f>
        <v>6116.916667</v>
      </c>
      <c r="E11" s="4">
        <f t="shared" si="5"/>
        <v>5889.285704</v>
      </c>
      <c r="F11" s="4">
        <f t="shared" si="6"/>
        <v>-227.6309628</v>
      </c>
      <c r="G11" s="4">
        <f t="shared" si="7"/>
        <v>-628.5604237</v>
      </c>
      <c r="H11" s="4">
        <f t="array" ref="H11">XLOOKUP(A11, 'Transposed Data'!A:A, 'Transposed Data'!V:V, "missing", -1)/12</f>
        <v>6876.25</v>
      </c>
      <c r="I11" s="4">
        <f t="shared" si="8"/>
        <v>6620.331632</v>
      </c>
      <c r="J11" s="4">
        <f t="shared" si="1"/>
        <v>-255.9183678</v>
      </c>
      <c r="K11" s="4">
        <f t="shared" si="9"/>
        <v>-706.6782676</v>
      </c>
      <c r="L11" s="4">
        <f t="array" ref="L11">XLOOKUP(A11, 'Transposed Data'!A:A, 'Transposed Data'!AA:AA, "missing", -1)/12</f>
        <v>8314.333333</v>
      </c>
      <c r="M11" s="4">
        <f t="shared" si="10"/>
        <v>8004.924273</v>
      </c>
      <c r="N11" s="4">
        <f t="shared" si="2"/>
        <v>-309.40906</v>
      </c>
      <c r="O11" s="4">
        <f t="shared" si="11"/>
        <v>-854.3765828</v>
      </c>
      <c r="P11" s="4">
        <f t="array" ref="P11">XLOOKUP(A11, 'Transposed Data'!A:A, 'Transposed Data'!AF:AF, "missing", -1)/12</f>
        <v>9773.75</v>
      </c>
      <c r="Q11" s="4">
        <f t="shared" si="12"/>
        <v>9409.976053</v>
      </c>
      <c r="R11" s="4">
        <f t="shared" si="3"/>
        <v>-363.7739473</v>
      </c>
      <c r="S11" s="4">
        <f t="shared" si="13"/>
        <v>-1004.508734</v>
      </c>
      <c r="T11" s="4">
        <f t="array" ref="T11">XLOOKUP(A11, 'Transposed Data'!A:A, 'Transposed Data'!AL:AL, "missing", -1)/12</f>
        <v>12804.66667</v>
      </c>
      <c r="U11" s="4">
        <f t="shared" si="14"/>
        <v>12328.10386</v>
      </c>
      <c r="V11" s="4">
        <f t="shared" si="4"/>
        <v>-476.5628053</v>
      </c>
      <c r="W11" s="4">
        <f t="shared" si="15"/>
        <v>-1315.953694</v>
      </c>
    </row>
    <row r="12">
      <c r="A12" s="1">
        <v>44105.0</v>
      </c>
      <c r="B12" s="14">
        <f t="array" ref="B12">XLOOKUP(A12, SLCI!A:A, SLCI!B:B, "missing", -1)/3</f>
        <v>0.4333333333</v>
      </c>
      <c r="C12" s="14">
        <f t="array" ref="C12">XLOOKUP(A12, CPI!A:A, CPI!B:B, "missing", -1)/3</f>
        <v>0.5</v>
      </c>
      <c r="D12" s="4">
        <f t="array" ref="D12">XLOOKUP(A12, 'Transposed Data'!A:A, 'Transposed Data'!R:R, "missing", -1)/12</f>
        <v>6116.916667</v>
      </c>
      <c r="E12" s="4">
        <f t="shared" si="5"/>
        <v>5914.805942</v>
      </c>
      <c r="F12" s="4">
        <f t="shared" si="6"/>
        <v>-202.1107248</v>
      </c>
      <c r="G12" s="4">
        <f t="shared" si="7"/>
        <v>-830.6711485</v>
      </c>
      <c r="H12" s="4">
        <f t="array" ref="H12">XLOOKUP(A12, 'Transposed Data'!A:A, 'Transposed Data'!V:V, "missing", -1)/12</f>
        <v>6876.25</v>
      </c>
      <c r="I12" s="4">
        <f t="shared" si="8"/>
        <v>6649.019736</v>
      </c>
      <c r="J12" s="4">
        <f t="shared" si="1"/>
        <v>-227.230264</v>
      </c>
      <c r="K12" s="4">
        <f t="shared" si="9"/>
        <v>-933.9085316</v>
      </c>
      <c r="L12" s="4">
        <f t="array" ref="L12">XLOOKUP(A12, 'Transposed Data'!A:A, 'Transposed Data'!AA:AA, "missing", -1)/12</f>
        <v>8314.333333</v>
      </c>
      <c r="M12" s="4">
        <f t="shared" si="10"/>
        <v>8039.612279</v>
      </c>
      <c r="N12" s="4">
        <f t="shared" si="2"/>
        <v>-274.7210548</v>
      </c>
      <c r="O12" s="4">
        <f t="shared" si="11"/>
        <v>-1129.097638</v>
      </c>
      <c r="P12" s="4">
        <f t="array" ref="P12">XLOOKUP(A12, 'Transposed Data'!A:A, 'Transposed Data'!AF:AF, "missing", -1)/12</f>
        <v>9773.75</v>
      </c>
      <c r="Q12" s="4">
        <f t="shared" si="12"/>
        <v>9450.752616</v>
      </c>
      <c r="R12" s="4">
        <f t="shared" si="3"/>
        <v>-322.9973844</v>
      </c>
      <c r="S12" s="4">
        <f t="shared" si="13"/>
        <v>-1327.506119</v>
      </c>
      <c r="T12" s="4">
        <f t="array" ref="T12">XLOOKUP(A12, 'Transposed Data'!A:A, 'Transposed Data'!AL:AL, "missing", -1)/12</f>
        <v>12804.66667</v>
      </c>
      <c r="U12" s="4">
        <f t="shared" si="14"/>
        <v>12381.52564</v>
      </c>
      <c r="V12" s="4">
        <f t="shared" si="4"/>
        <v>-423.1410219</v>
      </c>
      <c r="W12" s="4">
        <f t="shared" si="15"/>
        <v>-1739.094716</v>
      </c>
    </row>
    <row r="13">
      <c r="A13" s="1">
        <v>44136.0</v>
      </c>
      <c r="B13" s="14">
        <f t="array" ref="B13">XLOOKUP(A13, SLCI!A:A, SLCI!B:B, "missing", -1)/3</f>
        <v>0.4333333333</v>
      </c>
      <c r="C13" s="14">
        <f t="array" ref="C13">XLOOKUP(A13, CPI!A:A, CPI!B:B, "missing", -1)/3</f>
        <v>0.5</v>
      </c>
      <c r="D13" s="4">
        <f t="array" ref="D13">XLOOKUP(A13, 'Transposed Data'!A:A, 'Transposed Data'!R:R, "missing", -1)/12</f>
        <v>6116.916667</v>
      </c>
      <c r="E13" s="4">
        <f t="shared" si="5"/>
        <v>5940.436768</v>
      </c>
      <c r="F13" s="4">
        <f t="shared" si="6"/>
        <v>-176.479899</v>
      </c>
      <c r="G13" s="4">
        <f t="shared" si="7"/>
        <v>-1007.151048</v>
      </c>
      <c r="H13" s="4">
        <f t="array" ref="H13">XLOOKUP(A13, 'Transposed Data'!A:A, 'Transposed Data'!V:V, "missing", -1)/12</f>
        <v>6876.25</v>
      </c>
      <c r="I13" s="4">
        <f t="shared" si="8"/>
        <v>6677.832155</v>
      </c>
      <c r="J13" s="4">
        <f t="shared" si="1"/>
        <v>-198.4178452</v>
      </c>
      <c r="K13" s="4">
        <f t="shared" si="9"/>
        <v>-1132.326377</v>
      </c>
      <c r="L13" s="4">
        <f t="array" ref="L13">XLOOKUP(A13, 'Transposed Data'!A:A, 'Transposed Data'!AA:AA, "missing", -1)/12</f>
        <v>8314.333333</v>
      </c>
      <c r="M13" s="4">
        <f t="shared" si="10"/>
        <v>8074.450598</v>
      </c>
      <c r="N13" s="4">
        <f t="shared" si="2"/>
        <v>-239.882735</v>
      </c>
      <c r="O13" s="4">
        <f t="shared" si="11"/>
        <v>-1368.980373</v>
      </c>
      <c r="P13" s="4">
        <f t="array" ref="P13">XLOOKUP(A13, 'Transposed Data'!A:A, 'Transposed Data'!AF:AF, "missing", -1)/12</f>
        <v>9773.75</v>
      </c>
      <c r="Q13" s="4">
        <f t="shared" si="12"/>
        <v>9491.705877</v>
      </c>
      <c r="R13" s="4">
        <f t="shared" si="3"/>
        <v>-282.0441231</v>
      </c>
      <c r="S13" s="4">
        <f t="shared" si="13"/>
        <v>-1609.550242</v>
      </c>
      <c r="T13" s="4">
        <f t="array" ref="T13">XLOOKUP(A13, 'Transposed Data'!A:A, 'Transposed Data'!AL:AL, "missing", -1)/12</f>
        <v>12804.66667</v>
      </c>
      <c r="U13" s="4">
        <f t="shared" si="14"/>
        <v>12435.17892</v>
      </c>
      <c r="V13" s="4">
        <f t="shared" si="4"/>
        <v>-369.4877441</v>
      </c>
      <c r="W13" s="4">
        <f t="shared" si="15"/>
        <v>-2108.58246</v>
      </c>
    </row>
    <row r="14">
      <c r="A14" s="1">
        <v>44166.0</v>
      </c>
      <c r="B14" s="14">
        <f t="array" ref="B14">XLOOKUP(A14, SLCI!A:A, SLCI!B:B, "missing", -1)/3</f>
        <v>0.2666666667</v>
      </c>
      <c r="C14" s="14">
        <f t="array" ref="C14">XLOOKUP(A14, CPI!A:A, CPI!B:B, "missing", -1)/3</f>
        <v>0.3</v>
      </c>
      <c r="D14" s="4">
        <f t="array" ref="D14">XLOOKUP(A14, 'Transposed Data'!A:A, 'Transposed Data'!R:R, "missing", -1)/12</f>
        <v>6116.916667</v>
      </c>
      <c r="E14" s="4">
        <f t="shared" si="5"/>
        <v>5956.277932</v>
      </c>
      <c r="F14" s="4">
        <f t="shared" si="6"/>
        <v>-160.6387343</v>
      </c>
      <c r="G14" s="4">
        <f t="shared" si="7"/>
        <v>-1167.789782</v>
      </c>
      <c r="H14" s="4">
        <f t="array" ref="H14">XLOOKUP(A14, 'Transposed Data'!A:A, 'Transposed Data'!V:V, "missing", -1)/12</f>
        <v>6876.25</v>
      </c>
      <c r="I14" s="4">
        <f t="shared" si="8"/>
        <v>6695.639707</v>
      </c>
      <c r="J14" s="4">
        <f t="shared" si="1"/>
        <v>-180.6102928</v>
      </c>
      <c r="K14" s="4">
        <f t="shared" si="9"/>
        <v>-1312.936669</v>
      </c>
      <c r="L14" s="4">
        <f t="array" ref="L14">XLOOKUP(A14, 'Transposed Data'!A:A, 'Transposed Data'!AA:AA, "missing", -1)/12</f>
        <v>8314.333333</v>
      </c>
      <c r="M14" s="4">
        <f t="shared" si="10"/>
        <v>8095.982467</v>
      </c>
      <c r="N14" s="4">
        <f t="shared" si="2"/>
        <v>-218.3508667</v>
      </c>
      <c r="O14" s="4">
        <f t="shared" si="11"/>
        <v>-1587.331239</v>
      </c>
      <c r="P14" s="4">
        <f t="array" ref="P14">XLOOKUP(A14, 'Transposed Data'!A:A, 'Transposed Data'!AF:AF, "missing", -1)/12</f>
        <v>9773.75</v>
      </c>
      <c r="Q14" s="4">
        <f t="shared" si="12"/>
        <v>9517.017093</v>
      </c>
      <c r="R14" s="4">
        <f t="shared" si="3"/>
        <v>-256.7329074</v>
      </c>
      <c r="S14" s="4">
        <f t="shared" si="13"/>
        <v>-1866.283149</v>
      </c>
      <c r="T14" s="4">
        <f t="array" ref="T14">XLOOKUP(A14, 'Transposed Data'!A:A, 'Transposed Data'!AL:AL, "missing", -1)/12</f>
        <v>12804.66667</v>
      </c>
      <c r="U14" s="4">
        <f t="shared" si="14"/>
        <v>12468.3394</v>
      </c>
      <c r="V14" s="4">
        <f t="shared" si="4"/>
        <v>-336.327267</v>
      </c>
      <c r="W14" s="4">
        <f t="shared" si="15"/>
        <v>-2444.909727</v>
      </c>
    </row>
    <row r="15">
      <c r="A15" s="1">
        <v>44197.0</v>
      </c>
      <c r="B15" s="14">
        <f t="array" ref="B15">XLOOKUP(A15, SLCI!A:A, SLCI!B:B, "missing", -1)/3</f>
        <v>0.2666666667</v>
      </c>
      <c r="C15" s="14">
        <f t="array" ref="C15">XLOOKUP(A15, CPI!A:A, CPI!B:B, "missing", -1)/3</f>
        <v>0.3</v>
      </c>
      <c r="D15" s="4">
        <f t="array" ref="D15">XLOOKUP(A15, 'Transposed Data'!A:A, 'Transposed Data'!R:R, "missing", -1)/12</f>
        <v>6116.916667</v>
      </c>
      <c r="E15" s="4">
        <f t="shared" si="5"/>
        <v>5972.16134</v>
      </c>
      <c r="F15" s="4">
        <f t="shared" si="6"/>
        <v>-144.7553265</v>
      </c>
      <c r="G15" s="4">
        <f t="shared" si="7"/>
        <v>-1312.545108</v>
      </c>
      <c r="H15" s="4">
        <f t="array" ref="H15">XLOOKUP(A15, 'Transposed Data'!A:A, 'Transposed Data'!V:V, "missing", -1)/12</f>
        <v>6876.25</v>
      </c>
      <c r="I15" s="4">
        <f t="shared" si="8"/>
        <v>6713.494746</v>
      </c>
      <c r="J15" s="4">
        <f t="shared" si="1"/>
        <v>-162.7552535</v>
      </c>
      <c r="K15" s="4">
        <f t="shared" si="9"/>
        <v>-1475.691923</v>
      </c>
      <c r="L15" s="4">
        <f t="array" ref="L15">XLOOKUP(A15, 'Transposed Data'!A:A, 'Transposed Data'!AA:AA, "missing", -1)/12</f>
        <v>8314.333333</v>
      </c>
      <c r="M15" s="4">
        <f t="shared" si="10"/>
        <v>8117.571753</v>
      </c>
      <c r="N15" s="4">
        <f t="shared" si="2"/>
        <v>-196.7615801</v>
      </c>
      <c r="O15" s="4">
        <f t="shared" si="11"/>
        <v>-1784.092819</v>
      </c>
      <c r="P15" s="4">
        <f t="array" ref="P15">XLOOKUP(A15, 'Transposed Data'!A:A, 'Transposed Data'!AF:AF, "missing", -1)/12</f>
        <v>9773.75</v>
      </c>
      <c r="Q15" s="4">
        <f t="shared" si="12"/>
        <v>9542.395805</v>
      </c>
      <c r="R15" s="4">
        <f t="shared" si="3"/>
        <v>-231.3541952</v>
      </c>
      <c r="S15" s="4">
        <f t="shared" si="13"/>
        <v>-2097.637345</v>
      </c>
      <c r="T15" s="4">
        <f t="array" ref="T15">XLOOKUP(A15, 'Transposed Data'!A:A, 'Transposed Data'!AL:AL, "missing", -1)/12</f>
        <v>12804.66667</v>
      </c>
      <c r="U15" s="4">
        <f t="shared" si="14"/>
        <v>12501.5883</v>
      </c>
      <c r="V15" s="4">
        <f t="shared" si="4"/>
        <v>-303.0783619</v>
      </c>
      <c r="W15" s="4">
        <f t="shared" si="15"/>
        <v>-2747.988089</v>
      </c>
    </row>
    <row r="16">
      <c r="A16" s="1">
        <v>44228.0</v>
      </c>
      <c r="B16" s="14">
        <f t="array" ref="B16">XLOOKUP(A16, SLCI!A:A, SLCI!B:B, "missing", -1)/3</f>
        <v>0.2666666667</v>
      </c>
      <c r="C16" s="14">
        <f t="array" ref="C16">XLOOKUP(A16, CPI!A:A, CPI!B:B, "missing", -1)/3</f>
        <v>0.3</v>
      </c>
      <c r="D16" s="4">
        <f t="array" ref="D16">XLOOKUP(A16, 'Transposed Data'!A:A, 'Transposed Data'!R:R, "missing", -1)/12</f>
        <v>6116.916667</v>
      </c>
      <c r="E16" s="4">
        <f t="shared" si="5"/>
        <v>5988.087104</v>
      </c>
      <c r="F16" s="4">
        <f t="shared" si="6"/>
        <v>-128.8295629</v>
      </c>
      <c r="G16" s="4">
        <f t="shared" si="7"/>
        <v>-1441.374671</v>
      </c>
      <c r="H16" s="4">
        <f t="array" ref="H16">XLOOKUP(A16, 'Transposed Data'!A:A, 'Transposed Data'!V:V, "missing", -1)/12</f>
        <v>6876.25</v>
      </c>
      <c r="I16" s="4">
        <f t="shared" si="8"/>
        <v>6731.397399</v>
      </c>
      <c r="J16" s="4">
        <f t="shared" si="1"/>
        <v>-144.8526009</v>
      </c>
      <c r="K16" s="4">
        <f t="shared" si="9"/>
        <v>-1620.544524</v>
      </c>
      <c r="L16" s="4">
        <f t="array" ref="L16">XLOOKUP(A16, 'Transposed Data'!A:A, 'Transposed Data'!AA:AA, "missing", -1)/12</f>
        <v>8314.333333</v>
      </c>
      <c r="M16" s="4">
        <f t="shared" si="10"/>
        <v>8139.218611</v>
      </c>
      <c r="N16" s="4">
        <f t="shared" si="2"/>
        <v>-175.1147221</v>
      </c>
      <c r="O16" s="4">
        <f t="shared" si="11"/>
        <v>-1959.207541</v>
      </c>
      <c r="P16" s="4">
        <f t="array" ref="P16">XLOOKUP(A16, 'Transposed Data'!A:A, 'Transposed Data'!AF:AF, "missing", -1)/12</f>
        <v>9773.75</v>
      </c>
      <c r="Q16" s="4">
        <f t="shared" si="12"/>
        <v>9567.842194</v>
      </c>
      <c r="R16" s="4">
        <f t="shared" si="3"/>
        <v>-205.9078064</v>
      </c>
      <c r="S16" s="4">
        <f t="shared" si="13"/>
        <v>-2303.545151</v>
      </c>
      <c r="T16" s="4">
        <f t="array" ref="T16">XLOOKUP(A16, 'Transposed Data'!A:A, 'Transposed Data'!AL:AL, "missing", -1)/12</f>
        <v>12804.66667</v>
      </c>
      <c r="U16" s="4">
        <f t="shared" si="14"/>
        <v>12534.92587</v>
      </c>
      <c r="V16" s="4">
        <f t="shared" si="4"/>
        <v>-269.7407931</v>
      </c>
      <c r="W16" s="4">
        <f t="shared" si="15"/>
        <v>-3017.728882</v>
      </c>
    </row>
    <row r="17">
      <c r="A17" s="1">
        <v>44256.0</v>
      </c>
      <c r="B17" s="14">
        <f t="array" ref="B17">XLOOKUP(A17, SLCI!A:A, SLCI!B:B, "missing", -1)/3</f>
        <v>0.1666666667</v>
      </c>
      <c r="C17" s="14">
        <f t="array" ref="C17">XLOOKUP(A17, CPI!A:A, CPI!B:B, "missing", -1)/3</f>
        <v>0.2</v>
      </c>
      <c r="D17" s="4">
        <f t="array" ref="D17">XLOOKUP(A17, 'Transposed Data'!A:A, 'Transposed Data'!R:R, "missing", -1)/12</f>
        <v>6116.916667</v>
      </c>
      <c r="E17" s="4">
        <f t="shared" si="5"/>
        <v>5998.067249</v>
      </c>
      <c r="F17" s="4">
        <f t="shared" si="6"/>
        <v>-118.8494178</v>
      </c>
      <c r="G17" s="4">
        <f t="shared" si="7"/>
        <v>-1560.224089</v>
      </c>
      <c r="H17" s="4">
        <f t="array" ref="H17">XLOOKUP(A17, 'Transposed Data'!A:A, 'Transposed Data'!V:V, "missing", -1)/12</f>
        <v>6876.25</v>
      </c>
      <c r="I17" s="4">
        <f t="shared" si="8"/>
        <v>6742.616395</v>
      </c>
      <c r="J17" s="4">
        <f t="shared" si="1"/>
        <v>-133.6336052</v>
      </c>
      <c r="K17" s="4">
        <f t="shared" si="9"/>
        <v>-1754.178129</v>
      </c>
      <c r="L17" s="4">
        <f t="array" ref="L17">XLOOKUP(A17, 'Transposed Data'!A:A, 'Transposed Data'!AA:AA, "missing", -1)/12</f>
        <v>8314.333333</v>
      </c>
      <c r="M17" s="4">
        <f t="shared" si="10"/>
        <v>8152.783976</v>
      </c>
      <c r="N17" s="4">
        <f t="shared" si="2"/>
        <v>-161.5493578</v>
      </c>
      <c r="O17" s="4">
        <f t="shared" si="11"/>
        <v>-2120.756899</v>
      </c>
      <c r="P17" s="4">
        <f t="array" ref="P17">XLOOKUP(A17, 'Transposed Data'!A:A, 'Transposed Data'!AF:AF, "missing", -1)/12</f>
        <v>9773.75</v>
      </c>
      <c r="Q17" s="4">
        <f t="shared" si="12"/>
        <v>9583.788597</v>
      </c>
      <c r="R17" s="4">
        <f t="shared" si="3"/>
        <v>-189.9614027</v>
      </c>
      <c r="S17" s="4">
        <f t="shared" si="13"/>
        <v>-2493.506554</v>
      </c>
      <c r="T17" s="4">
        <f t="array" ref="T17">XLOOKUP(A17, 'Transposed Data'!A:A, 'Transposed Data'!AL:AL, "missing", -1)/12</f>
        <v>12804.66667</v>
      </c>
      <c r="U17" s="4">
        <f t="shared" si="14"/>
        <v>12555.81742</v>
      </c>
      <c r="V17" s="4">
        <f t="shared" si="4"/>
        <v>-248.84925</v>
      </c>
      <c r="W17" s="4">
        <f t="shared" si="15"/>
        <v>-3266.578132</v>
      </c>
    </row>
    <row r="18">
      <c r="A18" s="1">
        <v>44287.0</v>
      </c>
      <c r="B18" s="14">
        <f t="array" ref="B18">XLOOKUP(A18, SLCI!A:A, SLCI!B:B, "missing", -1)/3</f>
        <v>0.1666666667</v>
      </c>
      <c r="C18" s="14">
        <f t="array" ref="C18">XLOOKUP(A18, CPI!A:A, CPI!B:B, "missing", -1)/3</f>
        <v>0.2</v>
      </c>
      <c r="D18" s="4">
        <f t="array" ref="D18">XLOOKUP(A18, 'Transposed Data'!A:A, 'Transposed Data'!R:R, "missing", -1)/12</f>
        <v>6116.916667</v>
      </c>
      <c r="E18" s="4">
        <f t="shared" si="5"/>
        <v>6008.064028</v>
      </c>
      <c r="F18" s="4">
        <f t="shared" si="6"/>
        <v>-108.852639</v>
      </c>
      <c r="G18" s="4">
        <f t="shared" si="7"/>
        <v>-1669.076728</v>
      </c>
      <c r="H18" s="4">
        <f t="array" ref="H18">XLOOKUP(A18, 'Transposed Data'!A:A, 'Transposed Data'!V:V, "missing", -1)/12</f>
        <v>6876.25</v>
      </c>
      <c r="I18" s="4">
        <f t="shared" si="8"/>
        <v>6753.854089</v>
      </c>
      <c r="J18" s="4">
        <f t="shared" si="1"/>
        <v>-122.3959112</v>
      </c>
      <c r="K18" s="4">
        <f t="shared" si="9"/>
        <v>-1876.57404</v>
      </c>
      <c r="L18" s="4">
        <f t="array" ref="L18">XLOOKUP(A18, 'Transposed Data'!A:A, 'Transposed Data'!AA:AA, "missing", -1)/12</f>
        <v>8314.333333</v>
      </c>
      <c r="M18" s="4">
        <f t="shared" si="10"/>
        <v>8166.371949</v>
      </c>
      <c r="N18" s="4">
        <f t="shared" si="2"/>
        <v>-147.9613845</v>
      </c>
      <c r="O18" s="4">
        <f t="shared" si="11"/>
        <v>-2268.718284</v>
      </c>
      <c r="P18" s="4">
        <f t="array" ref="P18">XLOOKUP(A18, 'Transposed Data'!A:A, 'Transposed Data'!AF:AF, "missing", -1)/12</f>
        <v>9773.75</v>
      </c>
      <c r="Q18" s="4">
        <f t="shared" si="12"/>
        <v>9599.761578</v>
      </c>
      <c r="R18" s="4">
        <f t="shared" si="3"/>
        <v>-173.9884217</v>
      </c>
      <c r="S18" s="4">
        <f t="shared" si="13"/>
        <v>-2667.494975</v>
      </c>
      <c r="T18" s="4">
        <f t="array" ref="T18">XLOOKUP(A18, 'Transposed Data'!A:A, 'Transposed Data'!AL:AL, "missing", -1)/12</f>
        <v>12804.66667</v>
      </c>
      <c r="U18" s="4">
        <f t="shared" si="14"/>
        <v>12576.74378</v>
      </c>
      <c r="V18" s="4">
        <f t="shared" si="4"/>
        <v>-227.9228876</v>
      </c>
      <c r="W18" s="4">
        <f t="shared" si="15"/>
        <v>-3494.50102</v>
      </c>
    </row>
    <row r="19">
      <c r="A19" s="1">
        <v>44317.0</v>
      </c>
      <c r="B19" s="14">
        <f t="array" ref="B19">XLOOKUP(A19, SLCI!A:A, SLCI!B:B, "missing", -1)/3</f>
        <v>0.1666666667</v>
      </c>
      <c r="C19" s="14">
        <f t="array" ref="C19">XLOOKUP(A19, CPI!A:A, CPI!B:B, "missing", -1)/3</f>
        <v>0.2</v>
      </c>
      <c r="D19" s="4">
        <f t="array" ref="D19">XLOOKUP(A19, 'Transposed Data'!A:A, 'Transposed Data'!R:R, "missing", -1)/12</f>
        <v>6116.916667</v>
      </c>
      <c r="E19" s="4">
        <f t="shared" si="5"/>
        <v>6018.077468</v>
      </c>
      <c r="F19" s="4">
        <f t="shared" si="6"/>
        <v>-98.83919897</v>
      </c>
      <c r="G19" s="4">
        <f t="shared" si="7"/>
        <v>-1767.915927</v>
      </c>
      <c r="H19" s="4">
        <f t="array" ref="H19">XLOOKUP(A19, 'Transposed Data'!A:A, 'Transposed Data'!V:V, "missing", -1)/12</f>
        <v>6876.25</v>
      </c>
      <c r="I19" s="4">
        <f t="shared" si="8"/>
        <v>6765.110512</v>
      </c>
      <c r="J19" s="4">
        <f t="shared" si="1"/>
        <v>-111.1394877</v>
      </c>
      <c r="K19" s="4">
        <f t="shared" si="9"/>
        <v>-1987.713528</v>
      </c>
      <c r="L19" s="4">
        <f t="array" ref="L19">XLOOKUP(A19, 'Transposed Data'!A:A, 'Transposed Data'!AA:AA, "missing", -1)/12</f>
        <v>8314.333333</v>
      </c>
      <c r="M19" s="4">
        <f t="shared" si="10"/>
        <v>8179.982569</v>
      </c>
      <c r="N19" s="4">
        <f t="shared" si="2"/>
        <v>-134.3507645</v>
      </c>
      <c r="O19" s="4">
        <f t="shared" si="11"/>
        <v>-2403.069048</v>
      </c>
      <c r="P19" s="4">
        <f t="array" ref="P19">XLOOKUP(A19, 'Transposed Data'!A:A, 'Transposed Data'!AF:AF, "missing", -1)/12</f>
        <v>9773.75</v>
      </c>
      <c r="Q19" s="4">
        <f t="shared" si="12"/>
        <v>9615.761181</v>
      </c>
      <c r="R19" s="4">
        <f t="shared" si="3"/>
        <v>-157.9888191</v>
      </c>
      <c r="S19" s="4">
        <f t="shared" si="13"/>
        <v>-2825.483795</v>
      </c>
      <c r="T19" s="4">
        <f t="array" ref="T19">XLOOKUP(A19, 'Transposed Data'!A:A, 'Transposed Data'!AL:AL, "missing", -1)/12</f>
        <v>12804.66667</v>
      </c>
      <c r="U19" s="4">
        <f t="shared" si="14"/>
        <v>12597.70502</v>
      </c>
      <c r="V19" s="4">
        <f t="shared" si="4"/>
        <v>-206.961648</v>
      </c>
      <c r="W19" s="4">
        <f t="shared" si="15"/>
        <v>-3701.462668</v>
      </c>
    </row>
    <row r="20">
      <c r="A20" s="1">
        <v>44348.0</v>
      </c>
      <c r="B20" s="14">
        <f t="array" ref="B20">XLOOKUP(A20, SLCI!A:A, SLCI!B:B, "missing", -1)/3</f>
        <v>0.2</v>
      </c>
      <c r="C20" s="14">
        <f t="array" ref="C20">XLOOKUP(A20, CPI!A:A, CPI!B:B, "missing", -1)/3</f>
        <v>0.2333333333</v>
      </c>
      <c r="D20" s="4">
        <f t="array" ref="D20">XLOOKUP(A20, 'Transposed Data'!A:A, 'Transposed Data'!R:R, "missing", -1)/12</f>
        <v>6116.916667</v>
      </c>
      <c r="E20" s="4">
        <f t="shared" si="5"/>
        <v>6030.113623</v>
      </c>
      <c r="F20" s="4">
        <f t="shared" si="6"/>
        <v>-86.80304404</v>
      </c>
      <c r="G20" s="4">
        <f t="shared" si="7"/>
        <v>-1854.718971</v>
      </c>
      <c r="H20" s="4">
        <f t="array" ref="H20">XLOOKUP(A20, 'Transposed Data'!A:A, 'Transposed Data'!V:V, "missing", -1)/12</f>
        <v>6876.25</v>
      </c>
      <c r="I20" s="4">
        <f t="shared" si="8"/>
        <v>6778.640733</v>
      </c>
      <c r="J20" s="4">
        <f t="shared" si="1"/>
        <v>-97.60926672</v>
      </c>
      <c r="K20" s="4">
        <f t="shared" si="9"/>
        <v>-2085.322795</v>
      </c>
      <c r="L20" s="4">
        <f t="array" ref="L20">XLOOKUP(A20, 'Transposed Data'!A:A, 'Transposed Data'!AA:AA, "missing", -1)/12</f>
        <v>8314.333333</v>
      </c>
      <c r="M20" s="4">
        <f t="shared" si="10"/>
        <v>8196.342534</v>
      </c>
      <c r="N20" s="4">
        <f t="shared" si="2"/>
        <v>-117.9907994</v>
      </c>
      <c r="O20" s="4">
        <f t="shared" si="11"/>
        <v>-2521.059848</v>
      </c>
      <c r="P20" s="4">
        <f t="array" ref="P20">XLOOKUP(A20, 'Transposed Data'!A:A, 'Transposed Data'!AF:AF, "missing", -1)/12</f>
        <v>9773.75</v>
      </c>
      <c r="Q20" s="4">
        <f t="shared" si="12"/>
        <v>9634.992703</v>
      </c>
      <c r="R20" s="4">
        <f t="shared" si="3"/>
        <v>-138.7572967</v>
      </c>
      <c r="S20" s="4">
        <f t="shared" si="13"/>
        <v>-2964.241091</v>
      </c>
      <c r="T20" s="4">
        <f t="array" ref="T20">XLOOKUP(A20, 'Transposed Data'!A:A, 'Transposed Data'!AL:AL, "missing", -1)/12</f>
        <v>12804.66667</v>
      </c>
      <c r="U20" s="4">
        <f t="shared" si="14"/>
        <v>12622.90043</v>
      </c>
      <c r="V20" s="4">
        <f t="shared" si="4"/>
        <v>-181.7662379</v>
      </c>
      <c r="W20" s="4">
        <f t="shared" si="15"/>
        <v>-3883.228906</v>
      </c>
    </row>
    <row r="21">
      <c r="A21" s="1">
        <v>44378.0</v>
      </c>
      <c r="B21" s="14">
        <f t="array" ref="B21">XLOOKUP(A21, SLCI!A:A, SLCI!B:B, "missing", -1)/3</f>
        <v>0.2</v>
      </c>
      <c r="C21" s="14">
        <f t="array" ref="C21">XLOOKUP(A21, CPI!A:A, CPI!B:B, "missing", -1)/3</f>
        <v>0.2333333333</v>
      </c>
      <c r="D21" s="4">
        <f t="array" ref="D21">XLOOKUP(A21, 'Transposed Data'!A:A, 'Transposed Data'!R:R, "missing", -1)/12</f>
        <v>6239.25</v>
      </c>
      <c r="E21" s="4">
        <f t="shared" si="5"/>
        <v>6042.17385</v>
      </c>
      <c r="F21" s="4">
        <f t="shared" si="6"/>
        <v>-197.0761501</v>
      </c>
      <c r="G21" s="4">
        <f t="shared" si="7"/>
        <v>-2051.795121</v>
      </c>
      <c r="H21" s="4">
        <f t="array" ref="H21">XLOOKUP(A21, 'Transposed Data'!A:A, 'Transposed Data'!V:V, "missing", -1)/12</f>
        <v>7013.75</v>
      </c>
      <c r="I21" s="4">
        <f t="shared" si="8"/>
        <v>6792.198015</v>
      </c>
      <c r="J21" s="4">
        <f t="shared" si="1"/>
        <v>-221.5519853</v>
      </c>
      <c r="K21" s="4">
        <f t="shared" si="9"/>
        <v>-2306.87478</v>
      </c>
      <c r="L21" s="4">
        <f t="array" ref="L21">XLOOKUP(A21, 'Transposed Data'!A:A, 'Transposed Data'!AA:AA, "missing", -1)/12</f>
        <v>8480.583333</v>
      </c>
      <c r="M21" s="4">
        <f t="shared" si="10"/>
        <v>8212.735219</v>
      </c>
      <c r="N21" s="4">
        <f t="shared" si="2"/>
        <v>-267.8481143</v>
      </c>
      <c r="O21" s="4">
        <f t="shared" si="11"/>
        <v>-2788.907962</v>
      </c>
      <c r="P21" s="4">
        <f t="array" ref="P21">XLOOKUP(A21, 'Transposed Data'!A:A, 'Transposed Data'!AF:AF, "missing", -1)/12</f>
        <v>9969.25</v>
      </c>
      <c r="Q21" s="4">
        <f t="shared" si="12"/>
        <v>9654.262689</v>
      </c>
      <c r="R21" s="4">
        <f t="shared" si="3"/>
        <v>-314.9873113</v>
      </c>
      <c r="S21" s="4">
        <f t="shared" si="13"/>
        <v>-3279.228403</v>
      </c>
      <c r="T21" s="4">
        <f t="array" ref="T21">XLOOKUP(A21, 'Transposed Data'!A:A, 'Transposed Data'!AL:AL, "missing", -1)/12</f>
        <v>13060.75</v>
      </c>
      <c r="U21" s="4">
        <f t="shared" si="14"/>
        <v>12648.14623</v>
      </c>
      <c r="V21" s="4">
        <f t="shared" si="4"/>
        <v>-412.6037704</v>
      </c>
      <c r="W21" s="4">
        <f t="shared" si="15"/>
        <v>-4295.832676</v>
      </c>
    </row>
    <row r="22">
      <c r="A22" s="1">
        <v>44409.0</v>
      </c>
      <c r="B22" s="14">
        <f t="array" ref="B22">XLOOKUP(A22, SLCI!A:A, SLCI!B:B, "missing", -1)/3</f>
        <v>0.2</v>
      </c>
      <c r="C22" s="14">
        <f t="array" ref="C22">XLOOKUP(A22, CPI!A:A, CPI!B:B, "missing", -1)/3</f>
        <v>0.2333333333</v>
      </c>
      <c r="D22" s="4">
        <f t="array" ref="D22">XLOOKUP(A22, 'Transposed Data'!A:A, 'Transposed Data'!R:R, "missing", -1)/12</f>
        <v>6239.25</v>
      </c>
      <c r="E22" s="4">
        <f t="shared" si="5"/>
        <v>6054.258198</v>
      </c>
      <c r="F22" s="4">
        <f t="shared" si="6"/>
        <v>-184.9918024</v>
      </c>
      <c r="G22" s="4">
        <f t="shared" si="7"/>
        <v>-2236.786924</v>
      </c>
      <c r="H22" s="4">
        <f t="array" ref="H22">XLOOKUP(A22, 'Transposed Data'!A:A, 'Transposed Data'!V:V, "missing", -1)/12</f>
        <v>7013.75</v>
      </c>
      <c r="I22" s="4">
        <f t="shared" si="8"/>
        <v>6805.782411</v>
      </c>
      <c r="J22" s="4">
        <f t="shared" si="1"/>
        <v>-207.9675892</v>
      </c>
      <c r="K22" s="4">
        <f t="shared" si="9"/>
        <v>-2514.842369</v>
      </c>
      <c r="L22" s="4">
        <f t="array" ref="L22">XLOOKUP(A22, 'Transposed Data'!A:A, 'Transposed Data'!AA:AA, "missing", -1)/12</f>
        <v>8480.583333</v>
      </c>
      <c r="M22" s="4">
        <f t="shared" si="10"/>
        <v>8229.160689</v>
      </c>
      <c r="N22" s="4">
        <f t="shared" si="2"/>
        <v>-251.4226439</v>
      </c>
      <c r="O22" s="4">
        <f t="shared" si="11"/>
        <v>-3040.330606</v>
      </c>
      <c r="P22" s="4">
        <f t="array" ref="P22">XLOOKUP(A22, 'Transposed Data'!A:A, 'Transposed Data'!AF:AF, "missing", -1)/12</f>
        <v>9969.25</v>
      </c>
      <c r="Q22" s="4">
        <f t="shared" si="12"/>
        <v>9673.571214</v>
      </c>
      <c r="R22" s="4">
        <f t="shared" si="3"/>
        <v>-295.6787859</v>
      </c>
      <c r="S22" s="4">
        <f t="shared" si="13"/>
        <v>-3574.907189</v>
      </c>
      <c r="T22" s="4">
        <f t="array" ref="T22">XLOOKUP(A22, 'Transposed Data'!A:A, 'Transposed Data'!AL:AL, "missing", -1)/12</f>
        <v>13060.75</v>
      </c>
      <c r="U22" s="4">
        <f t="shared" si="14"/>
        <v>12673.44252</v>
      </c>
      <c r="V22" s="4">
        <f t="shared" si="4"/>
        <v>-387.3074779</v>
      </c>
      <c r="W22" s="4">
        <f t="shared" si="15"/>
        <v>-4683.140154</v>
      </c>
    </row>
    <row r="23">
      <c r="A23" s="1">
        <v>44440.0</v>
      </c>
      <c r="B23" s="14">
        <f t="array" ref="B23">XLOOKUP(A23, SLCI!A:A, SLCI!B:B, "missing", -1)/3</f>
        <v>0.2</v>
      </c>
      <c r="C23" s="14">
        <f t="array" ref="C23">XLOOKUP(A23, CPI!A:A, CPI!B:B, "missing", -1)/3</f>
        <v>0.2666666667</v>
      </c>
      <c r="D23" s="4">
        <f t="array" ref="D23">XLOOKUP(A23, 'Transposed Data'!A:A, 'Transposed Data'!R:R, "missing", -1)/12</f>
        <v>6239.25</v>
      </c>
      <c r="E23" s="4">
        <f t="shared" si="5"/>
        <v>6066.366714</v>
      </c>
      <c r="F23" s="4">
        <f t="shared" si="6"/>
        <v>-172.883286</v>
      </c>
      <c r="G23" s="4">
        <f t="shared" si="7"/>
        <v>-2409.67021</v>
      </c>
      <c r="H23" s="4">
        <f t="array" ref="H23">XLOOKUP(A23, 'Transposed Data'!A:A, 'Transposed Data'!V:V, "missing", -1)/12</f>
        <v>7013.75</v>
      </c>
      <c r="I23" s="4">
        <f t="shared" si="8"/>
        <v>6819.393976</v>
      </c>
      <c r="J23" s="4">
        <f t="shared" si="1"/>
        <v>-194.3560244</v>
      </c>
      <c r="K23" s="4">
        <f t="shared" si="9"/>
        <v>-2709.198394</v>
      </c>
      <c r="L23" s="4">
        <f t="array" ref="L23">XLOOKUP(A23, 'Transposed Data'!A:A, 'Transposed Data'!AA:AA, "missing", -1)/12</f>
        <v>8480.583333</v>
      </c>
      <c r="M23" s="4">
        <f t="shared" si="10"/>
        <v>8245.619011</v>
      </c>
      <c r="N23" s="4">
        <f t="shared" si="2"/>
        <v>-234.9643225</v>
      </c>
      <c r="O23" s="4">
        <f t="shared" si="11"/>
        <v>-3275.294928</v>
      </c>
      <c r="P23" s="4">
        <f t="array" ref="P23">XLOOKUP(A23, 'Transposed Data'!A:A, 'Transposed Data'!AF:AF, "missing", -1)/12</f>
        <v>9969.25</v>
      </c>
      <c r="Q23" s="4">
        <f t="shared" si="12"/>
        <v>9692.918356</v>
      </c>
      <c r="R23" s="4">
        <f t="shared" si="3"/>
        <v>-276.3316435</v>
      </c>
      <c r="S23" s="4">
        <f t="shared" si="13"/>
        <v>-3851.238832</v>
      </c>
      <c r="T23" s="4">
        <f t="array" ref="T23">XLOOKUP(A23, 'Transposed Data'!A:A, 'Transposed Data'!AL:AL, "missing", -1)/12</f>
        <v>13060.75</v>
      </c>
      <c r="U23" s="4">
        <f t="shared" si="14"/>
        <v>12698.78941</v>
      </c>
      <c r="V23" s="4">
        <f t="shared" si="4"/>
        <v>-361.9605929</v>
      </c>
      <c r="W23" s="4">
        <f t="shared" si="15"/>
        <v>-5045.100747</v>
      </c>
    </row>
    <row r="24">
      <c r="A24" s="1">
        <v>44470.0</v>
      </c>
      <c r="B24" s="14">
        <f t="array" ref="B24">XLOOKUP(A24, SLCI!A:A, SLCI!B:B, "missing", -1)/3</f>
        <v>0.2</v>
      </c>
      <c r="C24" s="14">
        <f t="array" ref="C24">XLOOKUP(A24, CPI!A:A, CPI!B:B, "missing", -1)/3</f>
        <v>0.2666666667</v>
      </c>
      <c r="D24" s="4">
        <f t="array" ref="D24">XLOOKUP(A24, 'Transposed Data'!A:A, 'Transposed Data'!R:R, "missing", -1)/12</f>
        <v>6239.25</v>
      </c>
      <c r="E24" s="4">
        <f t="shared" si="5"/>
        <v>6078.499447</v>
      </c>
      <c r="F24" s="4">
        <f t="shared" si="6"/>
        <v>-160.7505526</v>
      </c>
      <c r="G24" s="4">
        <f t="shared" si="7"/>
        <v>-2570.420762</v>
      </c>
      <c r="H24" s="4">
        <f t="array" ref="H24">XLOOKUP(A24, 'Transposed Data'!A:A, 'Transposed Data'!V:V, "missing", -1)/12</f>
        <v>7013.75</v>
      </c>
      <c r="I24" s="4">
        <f t="shared" si="8"/>
        <v>6833.032764</v>
      </c>
      <c r="J24" s="4">
        <f t="shared" si="1"/>
        <v>-180.7172364</v>
      </c>
      <c r="K24" s="4">
        <f t="shared" si="9"/>
        <v>-2889.91563</v>
      </c>
      <c r="L24" s="4">
        <f t="array" ref="L24">XLOOKUP(A24, 'Transposed Data'!A:A, 'Transposed Data'!AA:AA, "missing", -1)/12</f>
        <v>8480.583333</v>
      </c>
      <c r="M24" s="4">
        <f t="shared" si="10"/>
        <v>8262.110249</v>
      </c>
      <c r="N24" s="4">
        <f t="shared" si="2"/>
        <v>-218.4730845</v>
      </c>
      <c r="O24" s="4">
        <f t="shared" si="11"/>
        <v>-3493.768013</v>
      </c>
      <c r="P24" s="4">
        <f t="array" ref="P24">XLOOKUP(A24, 'Transposed Data'!A:A, 'Transposed Data'!AF:AF, "missing", -1)/12</f>
        <v>9969.25</v>
      </c>
      <c r="Q24" s="4">
        <f t="shared" si="12"/>
        <v>9712.304193</v>
      </c>
      <c r="R24" s="4">
        <f t="shared" si="3"/>
        <v>-256.9458068</v>
      </c>
      <c r="S24" s="4">
        <f t="shared" si="13"/>
        <v>-4108.184639</v>
      </c>
      <c r="T24" s="4">
        <f t="array" ref="T24">XLOOKUP(A24, 'Transposed Data'!A:A, 'Transposed Data'!AL:AL, "missing", -1)/12</f>
        <v>13060.75</v>
      </c>
      <c r="U24" s="4">
        <f t="shared" si="14"/>
        <v>12724.18699</v>
      </c>
      <c r="V24" s="4">
        <f t="shared" si="4"/>
        <v>-336.5630141</v>
      </c>
      <c r="W24" s="4">
        <f t="shared" si="15"/>
        <v>-5381.663761</v>
      </c>
    </row>
    <row r="25">
      <c r="A25" s="1">
        <v>44501.0</v>
      </c>
      <c r="B25" s="14">
        <f t="array" ref="B25">XLOOKUP(A25, SLCI!A:A, SLCI!B:B, "missing", -1)/3</f>
        <v>0.2</v>
      </c>
      <c r="C25" s="14">
        <f t="array" ref="C25">XLOOKUP(A25, CPI!A:A, CPI!B:B, "missing", -1)/3</f>
        <v>0.2666666667</v>
      </c>
      <c r="D25" s="4">
        <f t="array" ref="D25">XLOOKUP(A25, 'Transposed Data'!A:A, 'Transposed Data'!R:R, "missing", -1)/12</f>
        <v>6239.25</v>
      </c>
      <c r="E25" s="4">
        <f t="shared" si="5"/>
        <v>6090.656446</v>
      </c>
      <c r="F25" s="4">
        <f t="shared" si="6"/>
        <v>-148.5935537</v>
      </c>
      <c r="G25" s="4">
        <f t="shared" si="7"/>
        <v>-2719.014316</v>
      </c>
      <c r="H25" s="4">
        <f t="array" ref="H25">XLOOKUP(A25, 'Transposed Data'!A:A, 'Transposed Data'!V:V, "missing", -1)/12</f>
        <v>7013.75</v>
      </c>
      <c r="I25" s="4">
        <f t="shared" si="8"/>
        <v>6846.698829</v>
      </c>
      <c r="J25" s="4">
        <f t="shared" si="1"/>
        <v>-167.0511709</v>
      </c>
      <c r="K25" s="4">
        <f t="shared" si="9"/>
        <v>-3056.966801</v>
      </c>
      <c r="L25" s="4">
        <f t="array" ref="L25">XLOOKUP(A25, 'Transposed Data'!A:A, 'Transposed Data'!AA:AA, "missing", -1)/12</f>
        <v>8480.583333</v>
      </c>
      <c r="M25" s="4">
        <f t="shared" si="10"/>
        <v>8278.634469</v>
      </c>
      <c r="N25" s="4">
        <f t="shared" si="2"/>
        <v>-201.948864</v>
      </c>
      <c r="O25" s="4">
        <f t="shared" si="11"/>
        <v>-3695.716877</v>
      </c>
      <c r="P25" s="4">
        <f t="array" ref="P25">XLOOKUP(A25, 'Transposed Data'!A:A, 'Transposed Data'!AF:AF, "missing", -1)/12</f>
        <v>9969.25</v>
      </c>
      <c r="Q25" s="4">
        <f t="shared" si="12"/>
        <v>9731.728802</v>
      </c>
      <c r="R25" s="4">
        <f t="shared" si="3"/>
        <v>-237.5211984</v>
      </c>
      <c r="S25" s="4">
        <f t="shared" si="13"/>
        <v>-4345.705837</v>
      </c>
      <c r="T25" s="4">
        <f t="array" ref="T25">XLOOKUP(A25, 'Transposed Data'!A:A, 'Transposed Data'!AL:AL, "missing", -1)/12</f>
        <v>13060.75</v>
      </c>
      <c r="U25" s="4">
        <f t="shared" si="14"/>
        <v>12749.63536</v>
      </c>
      <c r="V25" s="4">
        <f t="shared" si="4"/>
        <v>-311.1146401</v>
      </c>
      <c r="W25" s="4">
        <f t="shared" si="15"/>
        <v>-5692.778401</v>
      </c>
    </row>
    <row r="26">
      <c r="A26" s="1">
        <v>44531.0</v>
      </c>
      <c r="B26" s="14">
        <f t="array" ref="B26">XLOOKUP(A26, SLCI!A:A, SLCI!B:B, "missing", -1)/3</f>
        <v>0.2666666667</v>
      </c>
      <c r="C26" s="14">
        <f t="array" ref="C26">XLOOKUP(A26, CPI!A:A, CPI!B:B, "missing", -1)/3</f>
        <v>0.4333333333</v>
      </c>
      <c r="D26" s="4">
        <f t="array" ref="D26">XLOOKUP(A26, 'Transposed Data'!A:A, 'Transposed Data'!R:R, "missing", -1)/12</f>
        <v>6239.25</v>
      </c>
      <c r="E26" s="4">
        <f t="shared" si="5"/>
        <v>6106.898197</v>
      </c>
      <c r="F26" s="4">
        <f t="shared" si="6"/>
        <v>-132.3518032</v>
      </c>
      <c r="G26" s="4">
        <f t="shared" si="7"/>
        <v>-2851.366119</v>
      </c>
      <c r="H26" s="4">
        <f t="array" ref="H26">XLOOKUP(A26, 'Transposed Data'!A:A, 'Transposed Data'!V:V, "missing", -1)/12</f>
        <v>7013.75</v>
      </c>
      <c r="I26" s="4">
        <f t="shared" si="8"/>
        <v>6864.956693</v>
      </c>
      <c r="J26" s="4">
        <f t="shared" si="1"/>
        <v>-148.7933074</v>
      </c>
      <c r="K26" s="4">
        <f t="shared" si="9"/>
        <v>-3205.760108</v>
      </c>
      <c r="L26" s="4">
        <f t="array" ref="L26">XLOOKUP(A26, 'Transposed Data'!A:A, 'Transposed Data'!AA:AA, "missing", -1)/12</f>
        <v>8480.583333</v>
      </c>
      <c r="M26" s="4">
        <f t="shared" si="10"/>
        <v>8300.710828</v>
      </c>
      <c r="N26" s="4">
        <f t="shared" si="2"/>
        <v>-179.8725054</v>
      </c>
      <c r="O26" s="4">
        <f t="shared" si="11"/>
        <v>-3875.589382</v>
      </c>
      <c r="P26" s="4">
        <f t="array" ref="P26">XLOOKUP(A26, 'Transposed Data'!A:A, 'Transposed Data'!AF:AF, "missing", -1)/12</f>
        <v>9969.25</v>
      </c>
      <c r="Q26" s="4">
        <f t="shared" si="12"/>
        <v>9757.680078</v>
      </c>
      <c r="R26" s="4">
        <f t="shared" si="3"/>
        <v>-211.5699216</v>
      </c>
      <c r="S26" s="4">
        <f t="shared" si="13"/>
        <v>-4557.275759</v>
      </c>
      <c r="T26" s="4">
        <f t="array" ref="T26">XLOOKUP(A26, 'Transposed Data'!A:A, 'Transposed Data'!AL:AL, "missing", -1)/12</f>
        <v>13060.75</v>
      </c>
      <c r="U26" s="4">
        <f t="shared" si="14"/>
        <v>12783.63439</v>
      </c>
      <c r="V26" s="4">
        <f t="shared" si="4"/>
        <v>-277.1156125</v>
      </c>
      <c r="W26" s="4">
        <f t="shared" si="15"/>
        <v>-5969.894014</v>
      </c>
    </row>
    <row r="27">
      <c r="A27" s="1">
        <v>44562.0</v>
      </c>
      <c r="B27" s="14">
        <f t="array" ref="B27">XLOOKUP(A27, SLCI!A:A, SLCI!B:B, "missing", -1)/3</f>
        <v>0.2666666667</v>
      </c>
      <c r="C27" s="14">
        <f t="array" ref="C27">XLOOKUP(A27, CPI!A:A, CPI!B:B, "missing", -1)/3</f>
        <v>0.4333333333</v>
      </c>
      <c r="D27" s="4">
        <f t="array" ref="D27">XLOOKUP(A27, 'Transposed Data'!A:A, 'Transposed Data'!R:R, "missing", -1)/12</f>
        <v>6239.25</v>
      </c>
      <c r="E27" s="4">
        <f t="shared" si="5"/>
        <v>6123.183259</v>
      </c>
      <c r="F27" s="4">
        <f t="shared" si="6"/>
        <v>-116.0667413</v>
      </c>
      <c r="G27" s="4">
        <f t="shared" si="7"/>
        <v>-2967.43286</v>
      </c>
      <c r="H27" s="4">
        <f t="array" ref="H27">XLOOKUP(A27, 'Transposed Data'!A:A, 'Transposed Data'!V:V, "missing", -1)/12</f>
        <v>7013.75</v>
      </c>
      <c r="I27" s="4">
        <f t="shared" si="8"/>
        <v>6883.263244</v>
      </c>
      <c r="J27" s="4">
        <f t="shared" si="1"/>
        <v>-130.4867562</v>
      </c>
      <c r="K27" s="4">
        <f t="shared" si="9"/>
        <v>-3336.246865</v>
      </c>
      <c r="L27" s="4">
        <f t="array" ref="L27">XLOOKUP(A27, 'Transposed Data'!A:A, 'Transposed Data'!AA:AA, "missing", -1)/12</f>
        <v>8480.583333</v>
      </c>
      <c r="M27" s="4">
        <f t="shared" si="10"/>
        <v>8322.846057</v>
      </c>
      <c r="N27" s="4">
        <f t="shared" si="2"/>
        <v>-157.7372765</v>
      </c>
      <c r="O27" s="4">
        <f t="shared" si="11"/>
        <v>-4033.326659</v>
      </c>
      <c r="P27" s="4">
        <f t="array" ref="P27">XLOOKUP(A27, 'Transposed Data'!A:A, 'Transposed Data'!AF:AF, "missing", -1)/12</f>
        <v>9969.25</v>
      </c>
      <c r="Q27" s="4">
        <f t="shared" si="12"/>
        <v>9783.700559</v>
      </c>
      <c r="R27" s="4">
        <f t="shared" si="3"/>
        <v>-185.5494414</v>
      </c>
      <c r="S27" s="4">
        <f t="shared" si="13"/>
        <v>-4742.8252</v>
      </c>
      <c r="T27" s="4">
        <f t="array" ref="T27">XLOOKUP(A27, 'Transposed Data'!A:A, 'Transposed Data'!AL:AL, "missing", -1)/12</f>
        <v>13060.75</v>
      </c>
      <c r="U27" s="4">
        <f t="shared" si="14"/>
        <v>12817.72408</v>
      </c>
      <c r="V27" s="4">
        <f t="shared" si="4"/>
        <v>-243.0259208</v>
      </c>
      <c r="W27" s="4">
        <f t="shared" si="15"/>
        <v>-6212.919934</v>
      </c>
    </row>
    <row r="28">
      <c r="A28" s="1">
        <v>44593.0</v>
      </c>
      <c r="B28" s="14">
        <f t="array" ref="B28">XLOOKUP(A28, SLCI!A:A, SLCI!B:B, "missing", -1)/3</f>
        <v>0.2666666667</v>
      </c>
      <c r="C28" s="14">
        <f t="array" ref="C28">XLOOKUP(A28, CPI!A:A, CPI!B:B, "missing", -1)/3</f>
        <v>0.4333333333</v>
      </c>
      <c r="D28" s="4">
        <f t="array" ref="D28">XLOOKUP(A28, 'Transposed Data'!A:A, 'Transposed Data'!R:R, "missing", -1)/12</f>
        <v>6239.25</v>
      </c>
      <c r="E28" s="4">
        <f t="shared" si="5"/>
        <v>6139.511747</v>
      </c>
      <c r="F28" s="4">
        <f t="shared" si="6"/>
        <v>-99.73825263</v>
      </c>
      <c r="G28" s="4">
        <f t="shared" si="7"/>
        <v>-3067.171113</v>
      </c>
      <c r="H28" s="4">
        <f t="array" ref="H28">XLOOKUP(A28, 'Transposed Data'!A:A, 'Transposed Data'!V:V, "missing", -1)/12</f>
        <v>7013.75</v>
      </c>
      <c r="I28" s="4">
        <f t="shared" si="8"/>
        <v>6901.618612</v>
      </c>
      <c r="J28" s="4">
        <f t="shared" si="1"/>
        <v>-112.1313875</v>
      </c>
      <c r="K28" s="4">
        <f t="shared" si="9"/>
        <v>-3448.378252</v>
      </c>
      <c r="L28" s="4">
        <f t="array" ref="L28">XLOOKUP(A28, 'Transposed Data'!A:A, 'Transposed Data'!AA:AA, "missing", -1)/12</f>
        <v>8480.583333</v>
      </c>
      <c r="M28" s="4">
        <f t="shared" si="10"/>
        <v>8345.040313</v>
      </c>
      <c r="N28" s="4">
        <f t="shared" si="2"/>
        <v>-135.5430204</v>
      </c>
      <c r="O28" s="4">
        <f t="shared" si="11"/>
        <v>-4168.869679</v>
      </c>
      <c r="P28" s="4">
        <f t="array" ref="P28">XLOOKUP(A28, 'Transposed Data'!A:A, 'Transposed Data'!AF:AF, "missing", -1)/12</f>
        <v>9969.25</v>
      </c>
      <c r="Q28" s="4">
        <f t="shared" si="12"/>
        <v>9809.790427</v>
      </c>
      <c r="R28" s="4">
        <f t="shared" si="3"/>
        <v>-159.4595732</v>
      </c>
      <c r="S28" s="4">
        <f t="shared" si="13"/>
        <v>-4902.284774</v>
      </c>
      <c r="T28" s="4">
        <f t="array" ref="T28">XLOOKUP(A28, 'Transposed Data'!A:A, 'Transposed Data'!AL:AL, "missing", -1)/12</f>
        <v>13060.75</v>
      </c>
      <c r="U28" s="4">
        <f t="shared" si="14"/>
        <v>12851.90468</v>
      </c>
      <c r="V28" s="4">
        <f t="shared" si="4"/>
        <v>-208.8453232</v>
      </c>
      <c r="W28" s="4">
        <f t="shared" si="15"/>
        <v>-6421.765258</v>
      </c>
    </row>
    <row r="29">
      <c r="A29" s="1">
        <v>44621.0</v>
      </c>
      <c r="B29" s="14">
        <f t="array" ref="B29">XLOOKUP(A29, SLCI!A:A, SLCI!B:B, "missing", -1)/3</f>
        <v>0.5666666667</v>
      </c>
      <c r="C29" s="14">
        <f t="array" ref="C29">XLOOKUP(A29, CPI!A:A, CPI!B:B, "missing", -1)/3</f>
        <v>0.7333333333</v>
      </c>
      <c r="D29" s="4">
        <f t="array" ref="D29">XLOOKUP(A29, 'Transposed Data'!A:A, 'Transposed Data'!R:R, "missing", -1)/12</f>
        <v>6239.25</v>
      </c>
      <c r="E29" s="4">
        <f t="shared" si="5"/>
        <v>6174.302314</v>
      </c>
      <c r="F29" s="4">
        <f t="shared" si="6"/>
        <v>-64.94768607</v>
      </c>
      <c r="G29" s="4">
        <f t="shared" si="7"/>
        <v>-3132.118799</v>
      </c>
      <c r="H29" s="4">
        <f t="array" ref="H29">XLOOKUP(A29, 'Transposed Data'!A:A, 'Transposed Data'!V:V, "missing", -1)/12</f>
        <v>7013.75</v>
      </c>
      <c r="I29" s="4">
        <f t="shared" si="8"/>
        <v>6940.727785</v>
      </c>
      <c r="J29" s="4">
        <f t="shared" si="1"/>
        <v>-73.02221541</v>
      </c>
      <c r="K29" s="4">
        <f t="shared" si="9"/>
        <v>-3521.400468</v>
      </c>
      <c r="L29" s="4">
        <f t="array" ref="L29">XLOOKUP(A29, 'Transposed Data'!A:A, 'Transposed Data'!AA:AA, "missing", -1)/12</f>
        <v>8480.583333</v>
      </c>
      <c r="M29" s="4">
        <f t="shared" si="10"/>
        <v>8392.328875</v>
      </c>
      <c r="N29" s="4">
        <f t="shared" si="2"/>
        <v>-88.25445862</v>
      </c>
      <c r="O29" s="4">
        <f t="shared" si="11"/>
        <v>-4257.124138</v>
      </c>
      <c r="P29" s="4">
        <f t="array" ref="P29">XLOOKUP(A29, 'Transposed Data'!A:A, 'Transposed Data'!AF:AF, "missing", -1)/12</f>
        <v>9969.25</v>
      </c>
      <c r="Q29" s="4">
        <f t="shared" si="12"/>
        <v>9865.379239</v>
      </c>
      <c r="R29" s="4">
        <f t="shared" si="3"/>
        <v>-103.8707608</v>
      </c>
      <c r="S29" s="4">
        <f t="shared" si="13"/>
        <v>-5006.155534</v>
      </c>
      <c r="T29" s="4">
        <f t="array" ref="T29">XLOOKUP(A29, 'Transposed Data'!A:A, 'Transposed Data'!AL:AL, "missing", -1)/12</f>
        <v>13060.75</v>
      </c>
      <c r="U29" s="4">
        <f t="shared" si="14"/>
        <v>12924.73214</v>
      </c>
      <c r="V29" s="4">
        <f t="shared" si="4"/>
        <v>-136.0178634</v>
      </c>
      <c r="W29" s="4">
        <f t="shared" si="15"/>
        <v>-6557.783121</v>
      </c>
    </row>
    <row r="30">
      <c r="A30" s="1">
        <v>44652.0</v>
      </c>
      <c r="B30" s="14">
        <f t="array" ref="B30">XLOOKUP(A30, SLCI!A:A, SLCI!B:B, "missing", -1)/3</f>
        <v>0.5666666667</v>
      </c>
      <c r="C30" s="14">
        <f t="array" ref="C30">XLOOKUP(A30, CPI!A:A, CPI!B:B, "missing", -1)/3</f>
        <v>0.7333333333</v>
      </c>
      <c r="D30" s="4">
        <f t="array" ref="D30">XLOOKUP(A30, 'Transposed Data'!A:A, 'Transposed Data'!R:R, "missing", -1)/12</f>
        <v>6239.25</v>
      </c>
      <c r="E30" s="4">
        <f t="shared" si="5"/>
        <v>6209.290027</v>
      </c>
      <c r="F30" s="4">
        <f t="shared" si="6"/>
        <v>-29.95997295</v>
      </c>
      <c r="G30" s="4">
        <f t="shared" si="7"/>
        <v>-3162.078772</v>
      </c>
      <c r="H30" s="4">
        <f t="array" ref="H30">XLOOKUP(A30, 'Transposed Data'!A:A, 'Transposed Data'!V:V, "missing", -1)/12</f>
        <v>7013.75</v>
      </c>
      <c r="I30" s="4">
        <f t="shared" si="8"/>
        <v>6980.058575</v>
      </c>
      <c r="J30" s="4">
        <f t="shared" si="1"/>
        <v>-33.69142463</v>
      </c>
      <c r="K30" s="4">
        <f t="shared" si="9"/>
        <v>-3555.091892</v>
      </c>
      <c r="L30" s="4">
        <f t="array" ref="L30">XLOOKUP(A30, 'Transposed Data'!A:A, 'Transposed Data'!AA:AA, "missing", -1)/12</f>
        <v>8480.583333</v>
      </c>
      <c r="M30" s="4">
        <f t="shared" si="10"/>
        <v>8439.885405</v>
      </c>
      <c r="N30" s="4">
        <f t="shared" si="2"/>
        <v>-40.69792833</v>
      </c>
      <c r="O30" s="4">
        <f t="shared" si="11"/>
        <v>-4297.822066</v>
      </c>
      <c r="P30" s="4">
        <f t="array" ref="P30">XLOOKUP(A30, 'Transposed Data'!A:A, 'Transposed Data'!AF:AF, "missing", -1)/12</f>
        <v>9969.25</v>
      </c>
      <c r="Q30" s="4">
        <f t="shared" si="12"/>
        <v>9921.283055</v>
      </c>
      <c r="R30" s="4">
        <f t="shared" si="3"/>
        <v>-47.96694514</v>
      </c>
      <c r="S30" s="4">
        <f t="shared" si="13"/>
        <v>-5054.12248</v>
      </c>
      <c r="T30" s="4">
        <f t="array" ref="T30">XLOOKUP(A30, 'Transposed Data'!A:A, 'Transposed Data'!AL:AL, "missing", -1)/12</f>
        <v>13060.75</v>
      </c>
      <c r="U30" s="4">
        <f t="shared" si="14"/>
        <v>12997.97229</v>
      </c>
      <c r="V30" s="4">
        <f t="shared" si="4"/>
        <v>-62.77771463</v>
      </c>
      <c r="W30" s="4">
        <f t="shared" si="15"/>
        <v>-6620.560836</v>
      </c>
    </row>
    <row r="31">
      <c r="A31" s="1">
        <v>44682.0</v>
      </c>
      <c r="B31" s="14">
        <f t="array" ref="B31">XLOOKUP(A31, SLCI!A:A, SLCI!B:B, "missing", -1)/3</f>
        <v>0.5666666667</v>
      </c>
      <c r="C31" s="14">
        <f t="array" ref="C31">XLOOKUP(A31, CPI!A:A, CPI!B:B, "missing", -1)/3</f>
        <v>0.7333333333</v>
      </c>
      <c r="D31" s="4">
        <f t="array" ref="D31">XLOOKUP(A31, 'Transposed Data'!A:A, 'Transposed Data'!R:R, "missing", -1)/12</f>
        <v>6239.25</v>
      </c>
      <c r="E31" s="4">
        <f t="shared" si="5"/>
        <v>6244.476004</v>
      </c>
      <c r="F31" s="4">
        <f t="shared" si="6"/>
        <v>5.226003866</v>
      </c>
      <c r="G31" s="4">
        <f t="shared" si="7"/>
        <v>-3156.852768</v>
      </c>
      <c r="H31" s="4">
        <f t="array" ref="H31">XLOOKUP(A31, 'Transposed Data'!A:A, 'Transposed Data'!V:V, "missing", -1)/12</f>
        <v>7013.75</v>
      </c>
      <c r="I31" s="4">
        <f t="shared" si="8"/>
        <v>7019.612241</v>
      </c>
      <c r="J31" s="4">
        <f t="shared" si="1"/>
        <v>5.862240631</v>
      </c>
      <c r="K31" s="4">
        <f t="shared" si="9"/>
        <v>-3549.229652</v>
      </c>
      <c r="L31" s="4">
        <f t="array" ref="L31">XLOOKUP(A31, 'Transposed Data'!A:A, 'Transposed Data'!AA:AA, "missing", -1)/12</f>
        <v>8480.583333</v>
      </c>
      <c r="M31" s="4">
        <f t="shared" si="10"/>
        <v>8487.711422</v>
      </c>
      <c r="N31" s="4">
        <f t="shared" si="2"/>
        <v>7.128088964</v>
      </c>
      <c r="O31" s="4">
        <f t="shared" si="11"/>
        <v>-4290.693977</v>
      </c>
      <c r="P31" s="4">
        <f t="array" ref="P31">XLOOKUP(A31, 'Transposed Data'!A:A, 'Transposed Data'!AF:AF, "missing", -1)/12</f>
        <v>9969.25</v>
      </c>
      <c r="Q31" s="4">
        <f t="shared" si="12"/>
        <v>9977.503659</v>
      </c>
      <c r="R31" s="4">
        <f t="shared" si="3"/>
        <v>8.253658837</v>
      </c>
      <c r="S31" s="4">
        <f t="shared" si="13"/>
        <v>-5045.868821</v>
      </c>
      <c r="T31" s="4">
        <f t="array" ref="T31">XLOOKUP(A31, 'Transposed Data'!A:A, 'Transposed Data'!AL:AL, "missing", -1)/12</f>
        <v>13060.75</v>
      </c>
      <c r="U31" s="4">
        <f t="shared" si="14"/>
        <v>13071.62746</v>
      </c>
      <c r="V31" s="4">
        <f t="shared" si="4"/>
        <v>10.87746165</v>
      </c>
      <c r="W31" s="4">
        <f t="shared" si="15"/>
        <v>-6609.683374</v>
      </c>
    </row>
    <row r="32">
      <c r="A32" s="1">
        <v>44713.0</v>
      </c>
      <c r="B32" s="14">
        <f t="array" ref="B32">XLOOKUP(A32, SLCI!A:A, SLCI!B:B, "missing", -1)/3</f>
        <v>0.5</v>
      </c>
      <c r="C32" s="14">
        <f t="array" ref="C32">XLOOKUP(A32, CPI!A:A, CPI!B:B, "missing", -1)/3</f>
        <v>0.6</v>
      </c>
      <c r="D32" s="4">
        <f t="array" ref="D32">XLOOKUP(A32, 'Transposed Data'!A:A, 'Transposed Data'!R:R, "missing", -1)/12</f>
        <v>6239.25</v>
      </c>
      <c r="E32" s="4">
        <f t="shared" si="5"/>
        <v>6275.698384</v>
      </c>
      <c r="F32" s="4">
        <f t="shared" si="6"/>
        <v>36.44838389</v>
      </c>
      <c r="G32" s="4">
        <f t="shared" si="7"/>
        <v>-3120.404384</v>
      </c>
      <c r="H32" s="4">
        <f t="array" ref="H32">XLOOKUP(A32, 'Transposed Data'!A:A, 'Transposed Data'!V:V, "missing", -1)/12</f>
        <v>7013.75</v>
      </c>
      <c r="I32" s="4">
        <f t="shared" si="8"/>
        <v>7054.710302</v>
      </c>
      <c r="J32" s="4">
        <f t="shared" si="1"/>
        <v>40.96030183</v>
      </c>
      <c r="K32" s="4">
        <f t="shared" si="9"/>
        <v>-3508.26935</v>
      </c>
      <c r="L32" s="4">
        <f t="array" ref="L32">XLOOKUP(A32, 'Transposed Data'!A:A, 'Transposed Data'!AA:AA, "missing", -1)/12</f>
        <v>8480.583333</v>
      </c>
      <c r="M32" s="4">
        <f t="shared" si="10"/>
        <v>8530.149979</v>
      </c>
      <c r="N32" s="4">
        <f t="shared" si="2"/>
        <v>49.56664608</v>
      </c>
      <c r="O32" s="4">
        <f t="shared" si="11"/>
        <v>-4241.127331</v>
      </c>
      <c r="P32" s="4">
        <f t="array" ref="P32">XLOOKUP(A32, 'Transposed Data'!A:A, 'Transposed Data'!AF:AF, "missing", -1)/12</f>
        <v>9969.25</v>
      </c>
      <c r="Q32" s="4">
        <f t="shared" si="12"/>
        <v>10027.39118</v>
      </c>
      <c r="R32" s="4">
        <f t="shared" si="3"/>
        <v>58.14117713</v>
      </c>
      <c r="S32" s="4">
        <f t="shared" si="13"/>
        <v>-4987.727644</v>
      </c>
      <c r="T32" s="4">
        <f t="array" ref="T32">XLOOKUP(A32, 'Transposed Data'!A:A, 'Transposed Data'!AL:AL, "missing", -1)/12</f>
        <v>13060.75</v>
      </c>
      <c r="U32" s="4">
        <f t="shared" si="14"/>
        <v>13136.9856</v>
      </c>
      <c r="V32" s="4">
        <f t="shared" si="4"/>
        <v>76.23559896</v>
      </c>
      <c r="W32" s="4">
        <f t="shared" si="15"/>
        <v>-6533.447775</v>
      </c>
    </row>
    <row r="33">
      <c r="A33" s="1">
        <v>44743.0</v>
      </c>
      <c r="B33" s="14">
        <f t="array" ref="B33">XLOOKUP(A33, SLCI!A:A, SLCI!B:B, "missing", -1)/3</f>
        <v>0.5</v>
      </c>
      <c r="C33" s="14">
        <f t="array" ref="C33">XLOOKUP(A33, CPI!A:A, CPI!B:B, "missing", -1)/3</f>
        <v>0.6</v>
      </c>
      <c r="D33" s="4">
        <f t="array" ref="D33">XLOOKUP(A33, 'Transposed Data'!A:A, 'Transposed Data'!R:R, "missing", -1)/12</f>
        <v>6239.25</v>
      </c>
      <c r="E33" s="4">
        <f t="shared" si="5"/>
        <v>6307.076876</v>
      </c>
      <c r="F33" s="4">
        <f t="shared" si="6"/>
        <v>67.8268758</v>
      </c>
      <c r="G33" s="4">
        <f t="shared" si="7"/>
        <v>-3052.577509</v>
      </c>
      <c r="H33" s="4">
        <f t="array" ref="H33">XLOOKUP(A33, 'Transposed Data'!A:A, 'Transposed Data'!V:V, "missing", -1)/12</f>
        <v>7013.75</v>
      </c>
      <c r="I33" s="4">
        <f t="shared" si="8"/>
        <v>7089.983853</v>
      </c>
      <c r="J33" s="4">
        <f t="shared" si="1"/>
        <v>76.23385334</v>
      </c>
      <c r="K33" s="4">
        <f t="shared" si="9"/>
        <v>-3432.035496</v>
      </c>
      <c r="L33" s="4">
        <f t="array" ref="L33">XLOOKUP(A33, 'Transposed Data'!A:A, 'Transposed Data'!AA:AA, "missing", -1)/12</f>
        <v>8480.583333</v>
      </c>
      <c r="M33" s="4">
        <f t="shared" si="10"/>
        <v>8572.800729</v>
      </c>
      <c r="N33" s="4">
        <f t="shared" si="2"/>
        <v>92.21739597</v>
      </c>
      <c r="O33" s="4">
        <f t="shared" si="11"/>
        <v>-4148.909935</v>
      </c>
      <c r="P33" s="4">
        <f t="array" ref="P33">XLOOKUP(A33, 'Transposed Data'!A:A, 'Transposed Data'!AF:AF, "missing", -1)/12</f>
        <v>9969.25</v>
      </c>
      <c r="Q33" s="4">
        <f t="shared" si="12"/>
        <v>10077.52813</v>
      </c>
      <c r="R33" s="4">
        <f t="shared" si="3"/>
        <v>108.278133</v>
      </c>
      <c r="S33" s="4">
        <f t="shared" si="13"/>
        <v>-4879.449511</v>
      </c>
      <c r="T33" s="4">
        <f t="array" ref="T33">XLOOKUP(A33, 'Transposed Data'!A:A, 'Transposed Data'!AL:AL, "missing", -1)/12</f>
        <v>13060.75</v>
      </c>
      <c r="U33" s="4">
        <f t="shared" si="14"/>
        <v>13202.67053</v>
      </c>
      <c r="V33" s="4">
        <f t="shared" si="4"/>
        <v>141.920527</v>
      </c>
      <c r="W33" s="4">
        <f t="shared" si="15"/>
        <v>-6391.527248</v>
      </c>
    </row>
    <row r="34">
      <c r="A34" s="1">
        <v>44774.0</v>
      </c>
      <c r="B34" s="14">
        <f t="array" ref="B34">XLOOKUP(A34, SLCI!A:A, SLCI!B:B, "missing", -1)/3</f>
        <v>0.5</v>
      </c>
      <c r="C34" s="14">
        <f t="array" ref="C34">XLOOKUP(A34, CPI!A:A, CPI!B:B, "missing", -1)/3</f>
        <v>0.6</v>
      </c>
      <c r="D34" s="4">
        <f t="array" ref="D34">XLOOKUP(A34, 'Transposed Data'!A:A, 'Transposed Data'!R:R, "missing", -1)/12</f>
        <v>6239.25</v>
      </c>
      <c r="E34" s="4">
        <f t="shared" si="5"/>
        <v>6338.61226</v>
      </c>
      <c r="F34" s="4">
        <f t="shared" si="6"/>
        <v>99.36226018</v>
      </c>
      <c r="G34" s="4">
        <f t="shared" si="7"/>
        <v>-2953.215248</v>
      </c>
      <c r="H34" s="4">
        <f t="array" ref="H34">XLOOKUP(A34, 'Transposed Data'!A:A, 'Transposed Data'!V:V, "missing", -1)/12</f>
        <v>7013.75</v>
      </c>
      <c r="I34" s="4">
        <f t="shared" si="8"/>
        <v>7125.433773</v>
      </c>
      <c r="J34" s="4">
        <f t="shared" si="1"/>
        <v>111.6837726</v>
      </c>
      <c r="K34" s="4">
        <f t="shared" si="9"/>
        <v>-3320.351724</v>
      </c>
      <c r="L34" s="4">
        <f t="array" ref="L34">XLOOKUP(A34, 'Transposed Data'!A:A, 'Transposed Data'!AA:AA, "missing", -1)/12</f>
        <v>8480.583333</v>
      </c>
      <c r="M34" s="4">
        <f t="shared" si="10"/>
        <v>8615.664733</v>
      </c>
      <c r="N34" s="4">
        <f t="shared" si="2"/>
        <v>135.0813996</v>
      </c>
      <c r="O34" s="4">
        <f t="shared" si="11"/>
        <v>-4013.828536</v>
      </c>
      <c r="P34" s="4">
        <f t="array" ref="P34">XLOOKUP(A34, 'Transposed Data'!A:A, 'Transposed Data'!AF:AF, "missing", -1)/12</f>
        <v>9969.25</v>
      </c>
      <c r="Q34" s="4">
        <f t="shared" si="12"/>
        <v>10127.91577</v>
      </c>
      <c r="R34" s="4">
        <f t="shared" si="3"/>
        <v>158.6657737</v>
      </c>
      <c r="S34" s="4">
        <f t="shared" si="13"/>
        <v>-4720.783737</v>
      </c>
      <c r="T34" s="4">
        <f t="array" ref="T34">XLOOKUP(A34, 'Transposed Data'!A:A, 'Transposed Data'!AL:AL, "missing", -1)/12</f>
        <v>13060.75</v>
      </c>
      <c r="U34" s="4">
        <f t="shared" si="14"/>
        <v>13268.68388</v>
      </c>
      <c r="V34" s="4">
        <f t="shared" si="4"/>
        <v>207.9338796</v>
      </c>
      <c r="W34" s="4">
        <f t="shared" si="15"/>
        <v>-6183.593368</v>
      </c>
    </row>
    <row r="35">
      <c r="A35" s="1">
        <v>44805.0</v>
      </c>
      <c r="B35" s="14">
        <f t="array" ref="B35">XLOOKUP(A35, SLCI!A:A, SLCI!B:B, "missing", -1)/3</f>
        <v>0.8666666667</v>
      </c>
      <c r="C35" s="14">
        <f t="array" ref="C35">XLOOKUP(A35, CPI!A:A, CPI!B:B, "missing", -1)/3</f>
        <v>0.6</v>
      </c>
      <c r="D35" s="4">
        <f t="array" ref="D35">XLOOKUP(A35, 'Transposed Data'!A:A, 'Transposed Data'!R:R, "missing", -1)/12</f>
        <v>6239.25</v>
      </c>
      <c r="E35" s="4">
        <f t="shared" si="5"/>
        <v>6393.5469</v>
      </c>
      <c r="F35" s="4">
        <f t="shared" si="6"/>
        <v>154.2968998</v>
      </c>
      <c r="G35" s="4">
        <f t="shared" si="7"/>
        <v>-2798.918349</v>
      </c>
      <c r="H35" s="4">
        <f t="array" ref="H35">XLOOKUP(A35, 'Transposed Data'!A:A, 'Transposed Data'!V:V, "missing", -1)/12</f>
        <v>7013.75</v>
      </c>
      <c r="I35" s="4">
        <f t="shared" si="8"/>
        <v>7187.187532</v>
      </c>
      <c r="J35" s="4">
        <f t="shared" si="1"/>
        <v>173.437532</v>
      </c>
      <c r="K35" s="4">
        <f t="shared" si="9"/>
        <v>-3146.914192</v>
      </c>
      <c r="L35" s="4">
        <f t="array" ref="L35">XLOOKUP(A35, 'Transposed Data'!A:A, 'Transposed Data'!AA:AA, "missing", -1)/12</f>
        <v>8480.583333</v>
      </c>
      <c r="M35" s="4">
        <f t="shared" si="10"/>
        <v>8690.333827</v>
      </c>
      <c r="N35" s="4">
        <f t="shared" si="2"/>
        <v>209.750494</v>
      </c>
      <c r="O35" s="4">
        <f t="shared" si="11"/>
        <v>-3804.078042</v>
      </c>
      <c r="P35" s="4">
        <f t="array" ref="P35">XLOOKUP(A35, 'Transposed Data'!A:A, 'Transposed Data'!AF:AF, "missing", -1)/12</f>
        <v>9969.25</v>
      </c>
      <c r="Q35" s="4">
        <f t="shared" si="12"/>
        <v>10215.69104</v>
      </c>
      <c r="R35" s="4">
        <f t="shared" si="3"/>
        <v>246.4410437</v>
      </c>
      <c r="S35" s="4">
        <f t="shared" si="13"/>
        <v>-4474.342693</v>
      </c>
      <c r="T35" s="4">
        <f t="array" ref="T35">XLOOKUP(A35, 'Transposed Data'!A:A, 'Transposed Data'!AL:AL, "missing", -1)/12</f>
        <v>13060.75</v>
      </c>
      <c r="U35" s="4">
        <f t="shared" si="14"/>
        <v>13383.67914</v>
      </c>
      <c r="V35" s="4">
        <f t="shared" si="4"/>
        <v>322.9291399</v>
      </c>
      <c r="W35" s="4">
        <f t="shared" si="15"/>
        <v>-5860.664229</v>
      </c>
    </row>
    <row r="36">
      <c r="A36" s="1">
        <v>44835.0</v>
      </c>
      <c r="B36" s="14">
        <f t="array" ref="B36">XLOOKUP(A36, SLCI!A:A, SLCI!B:B, "missing", -1)/3</f>
        <v>0.8666666667</v>
      </c>
      <c r="C36" s="14">
        <f t="array" ref="C36">XLOOKUP(A36, CPI!A:A, CPI!B:B, "missing", -1)/3</f>
        <v>0.6</v>
      </c>
      <c r="D36" s="4">
        <f t="array" ref="D36">XLOOKUP(A36, 'Transposed Data'!A:A, 'Transposed Data'!R:R, "missing", -1)/12</f>
        <v>6239.25</v>
      </c>
      <c r="E36" s="4">
        <f t="shared" si="5"/>
        <v>6448.95764</v>
      </c>
      <c r="F36" s="4">
        <f t="shared" si="6"/>
        <v>209.7076396</v>
      </c>
      <c r="G36" s="4">
        <f t="shared" si="7"/>
        <v>-2589.210709</v>
      </c>
      <c r="H36" s="4">
        <f t="array" ref="H36">XLOOKUP(A36, 'Transposed Data'!A:A, 'Transposed Data'!V:V, "missing", -1)/12</f>
        <v>7013.75</v>
      </c>
      <c r="I36" s="4">
        <f t="shared" si="8"/>
        <v>7249.476491</v>
      </c>
      <c r="J36" s="4">
        <f t="shared" si="1"/>
        <v>235.7264906</v>
      </c>
      <c r="K36" s="4">
        <f t="shared" si="9"/>
        <v>-2911.187701</v>
      </c>
      <c r="L36" s="4">
        <f t="array" ref="L36">XLOOKUP(A36, 'Transposed Data'!A:A, 'Transposed Data'!AA:AA, "missing", -1)/12</f>
        <v>8480.583333</v>
      </c>
      <c r="M36" s="4">
        <f t="shared" si="10"/>
        <v>8765.650054</v>
      </c>
      <c r="N36" s="4">
        <f t="shared" si="2"/>
        <v>285.0667205</v>
      </c>
      <c r="O36" s="4">
        <f t="shared" si="11"/>
        <v>-3519.011321</v>
      </c>
      <c r="P36" s="4">
        <f t="array" ref="P36">XLOOKUP(A36, 'Transposed Data'!A:A, 'Transposed Data'!AF:AF, "missing", -1)/12</f>
        <v>9969.25</v>
      </c>
      <c r="Q36" s="4">
        <f t="shared" si="12"/>
        <v>10304.22703</v>
      </c>
      <c r="R36" s="4">
        <f t="shared" si="3"/>
        <v>334.9770328</v>
      </c>
      <c r="S36" s="4">
        <f t="shared" si="13"/>
        <v>-4139.36566</v>
      </c>
      <c r="T36" s="4">
        <f t="array" ref="T36">XLOOKUP(A36, 'Transposed Data'!A:A, 'Transposed Data'!AL:AL, "missing", -1)/12</f>
        <v>13060.75</v>
      </c>
      <c r="U36" s="4">
        <f t="shared" si="14"/>
        <v>13499.67103</v>
      </c>
      <c r="V36" s="4">
        <f t="shared" si="4"/>
        <v>438.9210258</v>
      </c>
      <c r="W36" s="4">
        <f t="shared" si="15"/>
        <v>-5421.743203</v>
      </c>
    </row>
    <row r="37">
      <c r="A37" s="1">
        <v>44866.0</v>
      </c>
      <c r="B37" s="14">
        <f t="array" ref="B37">XLOOKUP(A37, SLCI!A:A, SLCI!B:B, "missing", -1)/3</f>
        <v>0.8666666667</v>
      </c>
      <c r="C37" s="14">
        <f t="array" ref="C37">XLOOKUP(A37, CPI!A:A, CPI!B:B, "missing", -1)/3</f>
        <v>0.6</v>
      </c>
      <c r="D37" s="4">
        <f t="array" ref="D37">XLOOKUP(A37, 'Transposed Data'!A:A, 'Transposed Data'!R:R, "missing", -1)/12</f>
        <v>6239.25</v>
      </c>
      <c r="E37" s="4">
        <f t="shared" si="5"/>
        <v>6504.848606</v>
      </c>
      <c r="F37" s="4">
        <f t="shared" si="6"/>
        <v>265.5986058</v>
      </c>
      <c r="G37" s="4">
        <f t="shared" si="7"/>
        <v>-2323.612103</v>
      </c>
      <c r="H37" s="4">
        <f t="array" ref="H37">XLOOKUP(A37, 'Transposed Data'!A:A, 'Transposed Data'!V:V, "missing", -1)/12</f>
        <v>7013.75</v>
      </c>
      <c r="I37" s="4">
        <f t="shared" si="8"/>
        <v>7312.305287</v>
      </c>
      <c r="J37" s="4">
        <f t="shared" si="1"/>
        <v>298.5552868</v>
      </c>
      <c r="K37" s="4">
        <f t="shared" si="9"/>
        <v>-2612.632414</v>
      </c>
      <c r="L37" s="4">
        <f t="array" ref="L37">XLOOKUP(A37, 'Transposed Data'!A:A, 'Transposed Data'!AA:AA, "missing", -1)/12</f>
        <v>8480.583333</v>
      </c>
      <c r="M37" s="4">
        <f t="shared" si="10"/>
        <v>8841.619021</v>
      </c>
      <c r="N37" s="4">
        <f t="shared" si="2"/>
        <v>361.0356876</v>
      </c>
      <c r="O37" s="4">
        <f t="shared" si="11"/>
        <v>-3157.975634</v>
      </c>
      <c r="P37" s="4">
        <f t="array" ref="P37">XLOOKUP(A37, 'Transposed Data'!A:A, 'Transposed Data'!AF:AF, "missing", -1)/12</f>
        <v>9969.25</v>
      </c>
      <c r="Q37" s="4">
        <f t="shared" si="12"/>
        <v>10393.53033</v>
      </c>
      <c r="R37" s="4">
        <f t="shared" si="3"/>
        <v>424.2803337</v>
      </c>
      <c r="S37" s="4">
        <f t="shared" si="13"/>
        <v>-3715.085327</v>
      </c>
      <c r="T37" s="4">
        <f t="array" ref="T37">XLOOKUP(A37, 'Transposed Data'!A:A, 'Transposed Data'!AL:AL, "missing", -1)/12</f>
        <v>13060.75</v>
      </c>
      <c r="U37" s="4">
        <f t="shared" si="14"/>
        <v>13616.66817</v>
      </c>
      <c r="V37" s="4">
        <f t="shared" si="4"/>
        <v>555.9181746</v>
      </c>
      <c r="W37" s="4">
        <f t="shared" si="15"/>
        <v>-4865.825028</v>
      </c>
    </row>
    <row r="38">
      <c r="A38" s="1">
        <v>44896.0</v>
      </c>
      <c r="B38" s="14">
        <f t="array" ref="B38">XLOOKUP(A38, SLCI!A:A, SLCI!B:B, "missing", -1)/3</f>
        <v>1.066666667</v>
      </c>
      <c r="C38" s="14">
        <f t="array" ref="C38">XLOOKUP(A38, CPI!A:A, CPI!B:B, "missing", -1)/3</f>
        <v>0.6</v>
      </c>
      <c r="D38" s="4">
        <f t="array" ref="D38">XLOOKUP(A38, 'Transposed Data'!A:A, 'Transposed Data'!R:R, "missing", -1)/12</f>
        <v>6239.25</v>
      </c>
      <c r="E38" s="4">
        <f t="shared" si="5"/>
        <v>6574.233658</v>
      </c>
      <c r="F38" s="4">
        <f t="shared" si="6"/>
        <v>334.9836576</v>
      </c>
      <c r="G38" s="4">
        <f t="shared" si="7"/>
        <v>-1988.628446</v>
      </c>
      <c r="H38" s="4">
        <f t="array" ref="H38">XLOOKUP(A38, 'Transposed Data'!A:A, 'Transposed Data'!V:V, "missing", -1)/12</f>
        <v>7013.75</v>
      </c>
      <c r="I38" s="4">
        <f t="shared" si="8"/>
        <v>7390.30321</v>
      </c>
      <c r="J38" s="4">
        <f t="shared" si="1"/>
        <v>376.5532099</v>
      </c>
      <c r="K38" s="4">
        <f t="shared" si="9"/>
        <v>-2236.079205</v>
      </c>
      <c r="L38" s="4">
        <f t="array" ref="L38">XLOOKUP(A38, 'Transposed Data'!A:A, 'Transposed Data'!AA:AA, "missing", -1)/12</f>
        <v>8480.583333</v>
      </c>
      <c r="M38" s="4">
        <f t="shared" si="10"/>
        <v>8935.929624</v>
      </c>
      <c r="N38" s="4">
        <f t="shared" si="2"/>
        <v>455.3462905</v>
      </c>
      <c r="O38" s="4">
        <f t="shared" si="11"/>
        <v>-2702.629343</v>
      </c>
      <c r="P38" s="4">
        <f t="array" ref="P38">XLOOKUP(A38, 'Transposed Data'!A:A, 'Transposed Data'!AF:AF, "missing", -1)/12</f>
        <v>9969.25</v>
      </c>
      <c r="Q38" s="4">
        <f t="shared" si="12"/>
        <v>10504.39466</v>
      </c>
      <c r="R38" s="4">
        <f t="shared" si="3"/>
        <v>535.1446573</v>
      </c>
      <c r="S38" s="4">
        <f t="shared" si="13"/>
        <v>-3179.940669</v>
      </c>
      <c r="T38" s="4">
        <f t="array" ref="T38">XLOOKUP(A38, 'Transposed Data'!A:A, 'Transposed Data'!AL:AL, "missing", -1)/12</f>
        <v>13060.75</v>
      </c>
      <c r="U38" s="4">
        <f t="shared" si="14"/>
        <v>13761.91264</v>
      </c>
      <c r="V38" s="4">
        <f t="shared" si="4"/>
        <v>701.1626352</v>
      </c>
      <c r="W38" s="4">
        <f t="shared" si="15"/>
        <v>-4164.662393</v>
      </c>
    </row>
    <row r="39">
      <c r="A39" s="1">
        <v>44927.0</v>
      </c>
      <c r="B39" s="14">
        <f t="array" ref="B39">XLOOKUP(A39, SLCI!A:A, SLCI!B:B, "missing", -1)/3</f>
        <v>1.066666667</v>
      </c>
      <c r="C39" s="14">
        <f t="array" ref="C39">XLOOKUP(A39, CPI!A:A, CPI!B:B, "missing", -1)/3</f>
        <v>0.6</v>
      </c>
      <c r="D39" s="4">
        <f t="array" ref="D39">XLOOKUP(A39, 'Transposed Data'!A:A, 'Transposed Data'!R:R, "missing", -1)/12</f>
        <v>6239.25</v>
      </c>
      <c r="E39" s="4">
        <f t="shared" si="5"/>
        <v>6644.358817</v>
      </c>
      <c r="F39" s="4">
        <f t="shared" si="6"/>
        <v>405.1088166</v>
      </c>
      <c r="G39" s="4">
        <f t="shared" si="7"/>
        <v>-1583.519629</v>
      </c>
      <c r="H39" s="4">
        <f t="array" ref="H39">XLOOKUP(A39, 'Transposed Data'!A:A, 'Transposed Data'!V:V, "missing", -1)/12</f>
        <v>7013.75</v>
      </c>
      <c r="I39" s="4">
        <f t="shared" si="8"/>
        <v>7469.133111</v>
      </c>
      <c r="J39" s="4">
        <f t="shared" si="1"/>
        <v>455.3831108</v>
      </c>
      <c r="K39" s="4">
        <f t="shared" si="9"/>
        <v>-1780.696094</v>
      </c>
      <c r="L39" s="4">
        <f t="array" ref="L39">XLOOKUP(A39, 'Transposed Data'!A:A, 'Transposed Data'!AA:AA, "missing", -1)/12</f>
        <v>8480.583333</v>
      </c>
      <c r="M39" s="4">
        <f t="shared" si="10"/>
        <v>9031.246206</v>
      </c>
      <c r="N39" s="4">
        <f t="shared" si="2"/>
        <v>550.6628732</v>
      </c>
      <c r="O39" s="4">
        <f t="shared" si="11"/>
        <v>-2151.96647</v>
      </c>
      <c r="P39" s="4">
        <f t="array" ref="P39">XLOOKUP(A39, 'Transposed Data'!A:A, 'Transposed Data'!AF:AF, "missing", -1)/12</f>
        <v>9969.25</v>
      </c>
      <c r="Q39" s="4">
        <f t="shared" si="12"/>
        <v>10616.44153</v>
      </c>
      <c r="R39" s="4">
        <f t="shared" si="3"/>
        <v>647.1915336</v>
      </c>
      <c r="S39" s="4">
        <f t="shared" si="13"/>
        <v>-2532.749136</v>
      </c>
      <c r="T39" s="4">
        <f t="array" ref="T39">XLOOKUP(A39, 'Transposed Data'!A:A, 'Transposed Data'!AL:AL, "missing", -1)/12</f>
        <v>13060.75</v>
      </c>
      <c r="U39" s="4">
        <f t="shared" si="14"/>
        <v>13908.70637</v>
      </c>
      <c r="V39" s="4">
        <f t="shared" si="4"/>
        <v>847.95637</v>
      </c>
      <c r="W39" s="4">
        <f t="shared" si="15"/>
        <v>-3316.706023</v>
      </c>
    </row>
    <row r="40">
      <c r="A40" s="1">
        <v>44958.0</v>
      </c>
      <c r="B40" s="14">
        <f t="array" ref="B40">XLOOKUP(A40, SLCI!A:A, SLCI!B:B, "missing", -1)/3</f>
        <v>1.066666667</v>
      </c>
      <c r="C40" s="14">
        <f t="array" ref="C40">XLOOKUP(A40, CPI!A:A, CPI!B:B, "missing", -1)/3</f>
        <v>0.6</v>
      </c>
      <c r="D40" s="4">
        <f t="array" ref="D40">XLOOKUP(A40, 'Transposed Data'!A:A, 'Transposed Data'!R:R, "missing", -1)/12</f>
        <v>6239.25</v>
      </c>
      <c r="E40" s="4">
        <f t="shared" si="5"/>
        <v>6715.231977</v>
      </c>
      <c r="F40" s="4">
        <f t="shared" si="6"/>
        <v>475.9819773</v>
      </c>
      <c r="G40" s="4">
        <f t="shared" si="7"/>
        <v>-1107.537652</v>
      </c>
      <c r="H40" s="4">
        <f t="array" ref="H40">XLOOKUP(A40, 'Transposed Data'!A:A, 'Transposed Data'!V:V, "missing", -1)/12</f>
        <v>7013.75</v>
      </c>
      <c r="I40" s="4">
        <f t="shared" si="8"/>
        <v>7548.803864</v>
      </c>
      <c r="J40" s="4">
        <f t="shared" si="1"/>
        <v>535.053864</v>
      </c>
      <c r="K40" s="4">
        <f t="shared" si="9"/>
        <v>-1245.64223</v>
      </c>
      <c r="L40" s="4">
        <f t="array" ref="L40">XLOOKUP(A40, 'Transposed Data'!A:A, 'Transposed Data'!AA:AA, "missing", -1)/12</f>
        <v>8480.583333</v>
      </c>
      <c r="M40" s="4">
        <f t="shared" si="10"/>
        <v>9127.579499</v>
      </c>
      <c r="N40" s="4">
        <f t="shared" si="2"/>
        <v>646.996166</v>
      </c>
      <c r="O40" s="4">
        <f t="shared" si="11"/>
        <v>-1504.970304</v>
      </c>
      <c r="P40" s="4">
        <f t="array" ref="P40">XLOOKUP(A40, 'Transposed Data'!A:A, 'Transposed Data'!AF:AF, "missing", -1)/12</f>
        <v>9969.25</v>
      </c>
      <c r="Q40" s="4">
        <f t="shared" si="12"/>
        <v>10729.68358</v>
      </c>
      <c r="R40" s="4">
        <f t="shared" si="3"/>
        <v>760.4335766</v>
      </c>
      <c r="S40" s="4">
        <f t="shared" si="13"/>
        <v>-1772.315559</v>
      </c>
      <c r="T40" s="4">
        <f t="array" ref="T40">XLOOKUP(A40, 'Transposed Data'!A:A, 'Transposed Data'!AL:AL, "missing", -1)/12</f>
        <v>13060.75</v>
      </c>
      <c r="U40" s="4">
        <f t="shared" si="14"/>
        <v>14057.0659</v>
      </c>
      <c r="V40" s="4">
        <f t="shared" si="4"/>
        <v>996.3159046</v>
      </c>
      <c r="W40" s="4">
        <f t="shared" si="15"/>
        <v>-2320.390118</v>
      </c>
    </row>
    <row r="41">
      <c r="A41" s="1">
        <v>44986.0</v>
      </c>
      <c r="B41" s="14">
        <f t="array" ref="B41">XLOOKUP(A41, SLCI!A:A, SLCI!B:B, "missing", -1)/3</f>
        <v>0.6666666667</v>
      </c>
      <c r="C41" s="14">
        <f t="array" ref="C41">XLOOKUP(A41, CPI!A:A, CPI!B:B, "missing", -1)/3</f>
        <v>0.4666666667</v>
      </c>
      <c r="D41" s="4">
        <f t="array" ref="D41">XLOOKUP(A41, 'Transposed Data'!A:A, 'Transposed Data'!R:R, "missing", -1)/12</f>
        <v>6239.25</v>
      </c>
      <c r="E41" s="4">
        <f t="shared" si="5"/>
        <v>6760.00019</v>
      </c>
      <c r="F41" s="4">
        <f t="shared" si="6"/>
        <v>520.7501905</v>
      </c>
      <c r="G41" s="4">
        <f t="shared" si="7"/>
        <v>-586.7874613</v>
      </c>
      <c r="H41" s="4">
        <f t="array" ref="H41">XLOOKUP(A41, 'Transposed Data'!A:A, 'Transposed Data'!V:V, "missing", -1)/12</f>
        <v>7013.75</v>
      </c>
      <c r="I41" s="4">
        <f t="shared" si="8"/>
        <v>7599.129223</v>
      </c>
      <c r="J41" s="4">
        <f t="shared" si="1"/>
        <v>585.3792231</v>
      </c>
      <c r="K41" s="4">
        <f t="shared" si="9"/>
        <v>-660.2630066</v>
      </c>
      <c r="L41" s="4">
        <f t="array" ref="L41">XLOOKUP(A41, 'Transposed Data'!A:A, 'Transposed Data'!AA:AA, "missing", -1)/12</f>
        <v>8480.583333</v>
      </c>
      <c r="M41" s="4">
        <f t="shared" si="10"/>
        <v>9188.430029</v>
      </c>
      <c r="N41" s="4">
        <f t="shared" si="2"/>
        <v>707.846696</v>
      </c>
      <c r="O41" s="4">
        <f t="shared" si="11"/>
        <v>-797.1236079</v>
      </c>
      <c r="P41" s="4">
        <f t="array" ref="P41">XLOOKUP(A41, 'Transposed Data'!A:A, 'Transposed Data'!AF:AF, "missing", -1)/12</f>
        <v>9969.25</v>
      </c>
      <c r="Q41" s="4">
        <f t="shared" si="12"/>
        <v>10801.2148</v>
      </c>
      <c r="R41" s="4">
        <f t="shared" si="3"/>
        <v>831.9648005</v>
      </c>
      <c r="S41" s="4">
        <f t="shared" si="13"/>
        <v>-940.3507586</v>
      </c>
      <c r="T41" s="4">
        <f t="array" ref="T41">XLOOKUP(A41, 'Transposed Data'!A:A, 'Transposed Data'!AL:AL, "missing", -1)/12</f>
        <v>13060.75</v>
      </c>
      <c r="U41" s="4">
        <f t="shared" si="14"/>
        <v>14150.77968</v>
      </c>
      <c r="V41" s="4">
        <f t="shared" si="4"/>
        <v>1090.029677</v>
      </c>
      <c r="W41" s="4">
        <f t="shared" si="15"/>
        <v>-1230.360441</v>
      </c>
    </row>
    <row r="42">
      <c r="A42" s="1">
        <v>45017.0</v>
      </c>
      <c r="B42" s="14">
        <f t="array" ref="B42">XLOOKUP(A42, SLCI!A:A, SLCI!B:B, "missing", -1)/3</f>
        <v>0.6666666667</v>
      </c>
      <c r="C42" s="14">
        <f t="array" ref="C42">XLOOKUP(A42, CPI!A:A, CPI!B:B, "missing", -1)/3</f>
        <v>0.4666666667</v>
      </c>
      <c r="D42" s="4">
        <f t="array" ref="D42">XLOOKUP(A42, 'Transposed Data'!A:A, 'Transposed Data'!R:R, "missing", -1)/12</f>
        <v>6239.25</v>
      </c>
      <c r="E42" s="4">
        <f t="shared" si="5"/>
        <v>6805.066858</v>
      </c>
      <c r="F42" s="4">
        <f t="shared" si="6"/>
        <v>565.8168584</v>
      </c>
      <c r="G42" s="4">
        <f t="shared" si="7"/>
        <v>-20.97060292</v>
      </c>
      <c r="H42" s="4">
        <f t="array" ref="H42">XLOOKUP(A42, 'Transposed Data'!A:A, 'Transposed Data'!V:V, "missing", -1)/12</f>
        <v>7013.75</v>
      </c>
      <c r="I42" s="4">
        <f t="shared" si="8"/>
        <v>7649.790085</v>
      </c>
      <c r="J42" s="4">
        <f t="shared" si="1"/>
        <v>636.0400846</v>
      </c>
      <c r="K42" s="4">
        <f t="shared" si="9"/>
        <v>-24.22292208</v>
      </c>
      <c r="L42" s="4">
        <f t="array" ref="L42">XLOOKUP(A42, 'Transposed Data'!A:A, 'Transposed Data'!AA:AA, "missing", -1)/12</f>
        <v>8480.583333</v>
      </c>
      <c r="M42" s="4">
        <f t="shared" si="10"/>
        <v>9249.68623</v>
      </c>
      <c r="N42" s="4">
        <f t="shared" si="2"/>
        <v>769.1028962</v>
      </c>
      <c r="O42" s="4">
        <f t="shared" si="11"/>
        <v>-28.02071168</v>
      </c>
      <c r="P42" s="4">
        <f t="array" ref="P42">XLOOKUP(A42, 'Transposed Data'!A:A, 'Transposed Data'!AF:AF, "missing", -1)/12</f>
        <v>9969.25</v>
      </c>
      <c r="Q42" s="4">
        <f t="shared" si="12"/>
        <v>10873.2229</v>
      </c>
      <c r="R42" s="4">
        <f t="shared" si="3"/>
        <v>903.9728992</v>
      </c>
      <c r="S42" s="4">
        <f t="shared" si="13"/>
        <v>-36.37785945</v>
      </c>
      <c r="T42" s="4">
        <f t="array" ref="T42">XLOOKUP(A42, 'Transposed Data'!A:A, 'Transposed Data'!AL:AL, "missing", -1)/12</f>
        <v>13060.75</v>
      </c>
      <c r="U42" s="4">
        <f t="shared" si="14"/>
        <v>14245.11821</v>
      </c>
      <c r="V42" s="4">
        <f t="shared" si="4"/>
        <v>1184.368208</v>
      </c>
      <c r="W42" s="4">
        <f t="shared" si="15"/>
        <v>-45.99223273</v>
      </c>
    </row>
    <row r="43">
      <c r="A43" s="1">
        <v>45047.0</v>
      </c>
      <c r="B43" s="14">
        <f t="array" ref="B43">XLOOKUP(A43, SLCI!A:A, SLCI!B:B, "missing", -1)/3</f>
        <v>0.6666666667</v>
      </c>
      <c r="C43" s="14">
        <f t="array" ref="C43">XLOOKUP(A43, CPI!A:A, CPI!B:B, "missing", -1)/3</f>
        <v>0.4666666667</v>
      </c>
      <c r="D43" s="4">
        <f t="array" ref="D43">XLOOKUP(A43, 'Transposed Data'!A:A, 'Transposed Data'!R:R, "missing", -1)/12</f>
        <v>6239.25</v>
      </c>
      <c r="E43" s="4">
        <f t="shared" si="5"/>
        <v>6850.433971</v>
      </c>
      <c r="F43" s="4">
        <f t="shared" si="6"/>
        <v>611.1839708</v>
      </c>
      <c r="G43" s="4">
        <f t="shared" si="7"/>
        <v>590.2133679</v>
      </c>
      <c r="H43" s="4">
        <f t="array" ref="H43">XLOOKUP(A43, 'Transposed Data'!A:A, 'Transposed Data'!V:V, "missing", -1)/12</f>
        <v>7013.75</v>
      </c>
      <c r="I43" s="4">
        <f t="shared" si="8"/>
        <v>7700.788685</v>
      </c>
      <c r="J43" s="4">
        <f t="shared" si="1"/>
        <v>687.0386851</v>
      </c>
      <c r="K43" s="4">
        <f t="shared" si="9"/>
        <v>662.815763</v>
      </c>
      <c r="L43" s="4">
        <f t="array" ref="L43">XLOOKUP(A43, 'Transposed Data'!A:A, 'Transposed Data'!AA:AA, "missing", -1)/12</f>
        <v>8480.583333</v>
      </c>
      <c r="M43" s="4">
        <f t="shared" si="10"/>
        <v>9311.350804</v>
      </c>
      <c r="N43" s="4">
        <f t="shared" si="2"/>
        <v>830.7674711</v>
      </c>
      <c r="O43" s="4">
        <f t="shared" si="11"/>
        <v>802.7467594</v>
      </c>
      <c r="P43" s="4">
        <f t="array" ref="P43">XLOOKUP(A43, 'Transposed Data'!A:A, 'Transposed Data'!AF:AF, "missing", -1)/12</f>
        <v>9969.25</v>
      </c>
      <c r="Q43" s="4">
        <f t="shared" si="12"/>
        <v>10945.71105</v>
      </c>
      <c r="R43" s="4">
        <f t="shared" si="3"/>
        <v>976.4610518</v>
      </c>
      <c r="S43" s="4">
        <f t="shared" si="13"/>
        <v>940.0831924</v>
      </c>
      <c r="T43" s="4">
        <f t="array" ref="T43">XLOOKUP(A43, 'Transposed Data'!A:A, 'Transposed Data'!AL:AL, "missing", -1)/12</f>
        <v>13060.75</v>
      </c>
      <c r="U43" s="4">
        <f t="shared" si="14"/>
        <v>14340.08566</v>
      </c>
      <c r="V43" s="4">
        <f t="shared" si="4"/>
        <v>1279.335663</v>
      </c>
      <c r="W43" s="4">
        <f t="shared" si="15"/>
        <v>1233.34343</v>
      </c>
    </row>
    <row r="44">
      <c r="A44" s="1">
        <v>45078.0</v>
      </c>
      <c r="B44" s="14">
        <f t="array" ref="B44">XLOOKUP(A44, SLCI!A:A, SLCI!B:B, "missing", -1)/3</f>
        <v>0.5</v>
      </c>
      <c r="C44" s="14">
        <f t="array" ref="C44">XLOOKUP(A44, CPI!A:A, CPI!B:B, "missing", -1)/3</f>
        <v>0.3</v>
      </c>
      <c r="D44" s="4">
        <f t="array" ref="D44">XLOOKUP(A44, 'Transposed Data'!A:A, 'Transposed Data'!R:R, "missing", -1)/12</f>
        <v>6239.25</v>
      </c>
      <c r="E44" s="4">
        <f t="shared" si="5"/>
        <v>6884.686141</v>
      </c>
      <c r="F44" s="4">
        <f t="shared" si="6"/>
        <v>645.4361407</v>
      </c>
      <c r="G44" s="4">
        <f t="shared" si="7"/>
        <v>1235.649509</v>
      </c>
      <c r="H44" s="4">
        <f t="array" ref="H44">XLOOKUP(A44, 'Transposed Data'!A:A, 'Transposed Data'!V:V, "missing", -1)/12</f>
        <v>7013.75</v>
      </c>
      <c r="I44" s="4">
        <f t="shared" si="8"/>
        <v>7739.292629</v>
      </c>
      <c r="J44" s="4">
        <f t="shared" si="1"/>
        <v>725.5426286</v>
      </c>
      <c r="K44" s="4">
        <f t="shared" si="9"/>
        <v>1388.358392</v>
      </c>
      <c r="L44" s="4">
        <f t="array" ref="L44">XLOOKUP(A44, 'Transposed Data'!A:A, 'Transposed Data'!AA:AA, "missing", -1)/12</f>
        <v>8480.583333</v>
      </c>
      <c r="M44" s="4">
        <f t="shared" si="10"/>
        <v>9357.907558</v>
      </c>
      <c r="N44" s="4">
        <f t="shared" si="2"/>
        <v>877.3242251</v>
      </c>
      <c r="O44" s="4">
        <f t="shared" si="11"/>
        <v>1680.070984</v>
      </c>
      <c r="P44" s="4">
        <f t="array" ref="P44">XLOOKUP(A44, 'Transposed Data'!A:A, 'Transposed Data'!AF:AF, "missing", -1)/12</f>
        <v>9969.25</v>
      </c>
      <c r="Q44" s="4">
        <f t="shared" si="12"/>
        <v>11000.43961</v>
      </c>
      <c r="R44" s="4">
        <f t="shared" si="3"/>
        <v>1031.189607</v>
      </c>
      <c r="S44" s="4">
        <f t="shared" si="13"/>
        <v>1971.272799</v>
      </c>
      <c r="T44" s="4">
        <f t="array" ref="T44">XLOOKUP(A44, 'Transposed Data'!A:A, 'Transposed Data'!AL:AL, "missing", -1)/12</f>
        <v>13060.75</v>
      </c>
      <c r="U44" s="4">
        <f t="shared" si="14"/>
        <v>14411.78609</v>
      </c>
      <c r="V44" s="4">
        <f t="shared" si="4"/>
        <v>1351.036091</v>
      </c>
      <c r="W44" s="4">
        <f t="shared" si="15"/>
        <v>2584.379522</v>
      </c>
    </row>
    <row r="45">
      <c r="A45" s="1">
        <v>45108.0</v>
      </c>
      <c r="B45" s="14">
        <f t="array" ref="B45">XLOOKUP(A45, SLCI!A:A, SLCI!B:B, "missing", -1)/3</f>
        <v>0.5</v>
      </c>
      <c r="C45" s="14">
        <f t="array" ref="C45">XLOOKUP(A45, CPI!A:A, CPI!B:B, "missing", -1)/3</f>
        <v>0.3</v>
      </c>
      <c r="D45" s="4">
        <f t="array" ref="D45">XLOOKUP(A45, 'Transposed Data'!A:A, 'Transposed Data'!R:R, "missing", -1)/12</f>
        <v>6239.25</v>
      </c>
      <c r="E45" s="4">
        <f t="shared" si="5"/>
        <v>6919.109571</v>
      </c>
      <c r="F45" s="4">
        <f t="shared" si="6"/>
        <v>679.8595714</v>
      </c>
      <c r="G45" s="4">
        <f t="shared" si="7"/>
        <v>1915.50908</v>
      </c>
      <c r="H45" s="4">
        <f t="array" ref="H45">XLOOKUP(A45, 'Transposed Data'!A:A, 'Transposed Data'!V:V, "missing", -1)/12</f>
        <v>7013.75</v>
      </c>
      <c r="I45" s="4">
        <f t="shared" si="8"/>
        <v>7777.989092</v>
      </c>
      <c r="J45" s="4">
        <f t="shared" si="1"/>
        <v>764.2390917</v>
      </c>
      <c r="K45" s="4">
        <f t="shared" si="9"/>
        <v>2152.597483</v>
      </c>
      <c r="L45" s="4">
        <f t="array" ref="L45">XLOOKUP(A45, 'Transposed Data'!A:A, 'Transposed Data'!AA:AA, "missing", -1)/12</f>
        <v>8480.583333</v>
      </c>
      <c r="M45" s="4">
        <f t="shared" si="10"/>
        <v>9404.697096</v>
      </c>
      <c r="N45" s="4">
        <f t="shared" si="2"/>
        <v>924.1137629</v>
      </c>
      <c r="O45" s="4">
        <f t="shared" si="11"/>
        <v>2604.184747</v>
      </c>
      <c r="P45" s="4">
        <f t="array" ref="P45">XLOOKUP(A45, 'Transposed Data'!A:A, 'Transposed Data'!AF:AF, "missing", -1)/12</f>
        <v>9969.25</v>
      </c>
      <c r="Q45" s="4">
        <f t="shared" si="12"/>
        <v>11055.44181</v>
      </c>
      <c r="R45" s="4">
        <f t="shared" si="3"/>
        <v>1086.191805</v>
      </c>
      <c r="S45" s="4">
        <f t="shared" si="13"/>
        <v>3057.464605</v>
      </c>
      <c r="T45" s="4">
        <f t="array" ref="T45">XLOOKUP(A45, 'Transposed Data'!A:A, 'Transposed Data'!AL:AL, "missing", -1)/12</f>
        <v>13060.75</v>
      </c>
      <c r="U45" s="4">
        <f t="shared" si="14"/>
        <v>14483.84502</v>
      </c>
      <c r="V45" s="4">
        <f t="shared" si="4"/>
        <v>1423.095022</v>
      </c>
      <c r="W45" s="4">
        <f t="shared" si="15"/>
        <v>4007.474544</v>
      </c>
    </row>
    <row r="46">
      <c r="A46" s="1">
        <v>45139.0</v>
      </c>
      <c r="B46" s="14">
        <f t="array" ref="B46">XLOOKUP(A46, SLCI!A:A, SLCI!B:B, "missing", -1)/3</f>
        <v>0.5</v>
      </c>
      <c r="C46" s="14">
        <f t="array" ref="C46">XLOOKUP(A46, CPI!A:A, CPI!B:B, "missing", -1)/3</f>
        <v>0.3</v>
      </c>
      <c r="D46" s="4">
        <f t="array" ref="D46">XLOOKUP(A46, 'Transposed Data'!A:A, 'Transposed Data'!R:R, "missing", -1)/12</f>
        <v>6239.25</v>
      </c>
      <c r="E46" s="4">
        <f t="shared" si="5"/>
        <v>6953.705119</v>
      </c>
      <c r="F46" s="4">
        <f t="shared" si="6"/>
        <v>714.4551192</v>
      </c>
      <c r="G46" s="4">
        <f t="shared" si="7"/>
        <v>2629.964199</v>
      </c>
      <c r="H46" s="4">
        <f t="array" ref="H46">XLOOKUP(A46, 'Transposed Data'!A:A, 'Transposed Data'!V:V, "missing", -1)/12</f>
        <v>7013.75</v>
      </c>
      <c r="I46" s="4">
        <f t="shared" si="8"/>
        <v>7816.879037</v>
      </c>
      <c r="J46" s="4">
        <f t="shared" si="1"/>
        <v>803.1290372</v>
      </c>
      <c r="K46" s="4">
        <f t="shared" si="9"/>
        <v>2955.72652</v>
      </c>
      <c r="L46" s="4">
        <f t="array" ref="L46">XLOOKUP(A46, 'Transposed Data'!A:A, 'Transposed Data'!AA:AA, "missing", -1)/12</f>
        <v>8480.583333</v>
      </c>
      <c r="M46" s="4">
        <f t="shared" si="10"/>
        <v>9451.720582</v>
      </c>
      <c r="N46" s="4">
        <f t="shared" si="2"/>
        <v>971.1372484</v>
      </c>
      <c r="O46" s="4">
        <f t="shared" si="11"/>
        <v>3575.321996</v>
      </c>
      <c r="P46" s="4">
        <f t="array" ref="P46">XLOOKUP(A46, 'Transposed Data'!A:A, 'Transposed Data'!AF:AF, "missing", -1)/12</f>
        <v>9969.25</v>
      </c>
      <c r="Q46" s="4">
        <f t="shared" si="12"/>
        <v>11110.71901</v>
      </c>
      <c r="R46" s="4">
        <f t="shared" si="3"/>
        <v>1141.469014</v>
      </c>
      <c r="S46" s="4">
        <f t="shared" si="13"/>
        <v>4198.933619</v>
      </c>
      <c r="T46" s="4">
        <f t="array" ref="T46">XLOOKUP(A46, 'Transposed Data'!A:A, 'Transposed Data'!AL:AL, "missing", -1)/12</f>
        <v>13060.75</v>
      </c>
      <c r="U46" s="4">
        <f t="shared" si="14"/>
        <v>14556.26425</v>
      </c>
      <c r="V46" s="4">
        <f t="shared" si="4"/>
        <v>1495.514247</v>
      </c>
      <c r="W46" s="4">
        <f t="shared" si="15"/>
        <v>5502.988791</v>
      </c>
    </row>
    <row r="47">
      <c r="A47" s="1">
        <v>45170.0</v>
      </c>
      <c r="B47" s="14">
        <f t="array" ref="B47">XLOOKUP(A47, SLCI!A:A, SLCI!B:B, "missing", -1)/3</f>
        <v>0.6666666667</v>
      </c>
      <c r="C47" s="14">
        <f t="array" ref="C47">XLOOKUP(A47, CPI!A:A, CPI!B:B, "missing", -1)/3</f>
        <v>0.4</v>
      </c>
      <c r="D47" s="4">
        <f t="array" ref="D47">XLOOKUP(A47, 'Transposed Data'!A:A, 'Transposed Data'!R:R, "missing", -1)/12</f>
        <v>6426.416667</v>
      </c>
      <c r="E47" s="4">
        <f t="shared" si="5"/>
        <v>7000.063153</v>
      </c>
      <c r="F47" s="4">
        <f t="shared" si="6"/>
        <v>573.6464867</v>
      </c>
      <c r="G47" s="4">
        <f t="shared" si="7"/>
        <v>3203.610686</v>
      </c>
      <c r="H47" s="4">
        <f t="array" ref="H47">XLOOKUP(A47, 'Transposed Data'!A:A, 'Transposed Data'!V:V, "missing", -1)/12</f>
        <v>7224.166667</v>
      </c>
      <c r="I47" s="4">
        <f t="shared" si="8"/>
        <v>7868.991564</v>
      </c>
      <c r="J47" s="4">
        <f t="shared" si="1"/>
        <v>644.8248974</v>
      </c>
      <c r="K47" s="4">
        <f t="shared" si="9"/>
        <v>3600.551418</v>
      </c>
      <c r="L47" s="4">
        <f t="array" ref="L47">XLOOKUP(A47, 'Transposed Data'!A:A, 'Transposed Data'!AA:AA, "missing", -1)/12</f>
        <v>8735</v>
      </c>
      <c r="M47" s="4">
        <f t="shared" si="10"/>
        <v>9514.732052</v>
      </c>
      <c r="N47" s="4">
        <f t="shared" si="2"/>
        <v>779.7320522</v>
      </c>
      <c r="O47" s="4">
        <f t="shared" si="11"/>
        <v>4355.054048</v>
      </c>
      <c r="P47" s="4">
        <f t="array" ref="P47">XLOOKUP(A47, 'Transposed Data'!A:A, 'Transposed Data'!AF:AF, "missing", -1)/12</f>
        <v>10268.33333</v>
      </c>
      <c r="Q47" s="4">
        <f t="shared" si="12"/>
        <v>11184.79047</v>
      </c>
      <c r="R47" s="4">
        <f t="shared" si="3"/>
        <v>916.4571409</v>
      </c>
      <c r="S47" s="4">
        <f t="shared" si="13"/>
        <v>5115.39076</v>
      </c>
      <c r="T47" s="4">
        <f t="array" ref="T47">XLOOKUP(A47, 'Transposed Data'!A:A, 'Transposed Data'!AL:AL, "missing", -1)/12</f>
        <v>13452.58333</v>
      </c>
      <c r="U47" s="4">
        <f t="shared" si="14"/>
        <v>14653.30601</v>
      </c>
      <c r="V47" s="4">
        <f t="shared" si="4"/>
        <v>1200.722675</v>
      </c>
      <c r="W47" s="4">
        <f t="shared" si="15"/>
        <v>6703.711466</v>
      </c>
    </row>
    <row r="48">
      <c r="A48" s="1">
        <v>45200.0</v>
      </c>
      <c r="B48" s="14">
        <f t="array" ref="B48">XLOOKUP(A48, SLCI!A:A, SLCI!B:B, "missing", -1)/3</f>
        <v>0.6666666667</v>
      </c>
      <c r="C48" s="14">
        <f t="array" ref="C48">XLOOKUP(A48, CPI!A:A, CPI!B:B, "missing", -1)/3</f>
        <v>0.4</v>
      </c>
      <c r="D48" s="4">
        <f t="array" ref="D48">XLOOKUP(A48, 'Transposed Data'!A:A, 'Transposed Data'!R:R, "missing", -1)/12</f>
        <v>6426.416667</v>
      </c>
      <c r="E48" s="4">
        <f t="shared" si="5"/>
        <v>7046.730241</v>
      </c>
      <c r="F48" s="4">
        <f t="shared" si="6"/>
        <v>620.3135744</v>
      </c>
      <c r="G48" s="4">
        <f t="shared" si="7"/>
        <v>3823.92426</v>
      </c>
      <c r="H48" s="4">
        <f t="array" ref="H48">XLOOKUP(A48, 'Transposed Data'!A:A, 'Transposed Data'!V:V, "missing", -1)/12</f>
        <v>7224.166667</v>
      </c>
      <c r="I48" s="4">
        <f t="shared" si="8"/>
        <v>7921.451508</v>
      </c>
      <c r="J48" s="4">
        <f t="shared" si="1"/>
        <v>697.2848412</v>
      </c>
      <c r="K48" s="4">
        <f t="shared" si="9"/>
        <v>4297.836259</v>
      </c>
      <c r="L48" s="4">
        <f t="array" ref="L48">XLOOKUP(A48, 'Transposed Data'!A:A, 'Transposed Data'!AA:AA, "missing", -1)/12</f>
        <v>8735</v>
      </c>
      <c r="M48" s="4">
        <f t="shared" si="10"/>
        <v>9578.163599</v>
      </c>
      <c r="N48" s="4">
        <f t="shared" si="2"/>
        <v>843.1635993</v>
      </c>
      <c r="O48" s="4">
        <f t="shared" si="11"/>
        <v>5198.217647</v>
      </c>
      <c r="P48" s="4">
        <f t="array" ref="P48">XLOOKUP(A48, 'Transposed Data'!A:A, 'Transposed Data'!AF:AF, "missing", -1)/12</f>
        <v>10268.33333</v>
      </c>
      <c r="Q48" s="4">
        <f t="shared" si="12"/>
        <v>11259.35574</v>
      </c>
      <c r="R48" s="4">
        <f t="shared" si="3"/>
        <v>991.0224107</v>
      </c>
      <c r="S48" s="4">
        <f t="shared" si="13"/>
        <v>6106.41317</v>
      </c>
      <c r="T48" s="4">
        <f t="array" ref="T48">XLOOKUP(A48, 'Transposed Data'!A:A, 'Transposed Data'!AL:AL, "missing", -1)/12</f>
        <v>13452.58333</v>
      </c>
      <c r="U48" s="4">
        <f t="shared" si="14"/>
        <v>14750.99472</v>
      </c>
      <c r="V48" s="4">
        <f t="shared" si="4"/>
        <v>1298.411382</v>
      </c>
      <c r="W48" s="4">
        <f t="shared" si="15"/>
        <v>8002.122848</v>
      </c>
    </row>
    <row r="49">
      <c r="A49" s="1">
        <v>45231.0</v>
      </c>
      <c r="B49" s="14">
        <f t="array" ref="B49">XLOOKUP(A49, SLCI!A:A, SLCI!B:B, "missing", -1)/3</f>
        <v>0.6666666667</v>
      </c>
      <c r="C49" s="14">
        <f t="array" ref="C49">XLOOKUP(A49, CPI!A:A, CPI!B:B, "missing", -1)/3</f>
        <v>0.4</v>
      </c>
      <c r="D49" s="4">
        <f t="array" ref="D49">XLOOKUP(A49, 'Transposed Data'!A:A, 'Transposed Data'!R:R, "missing", -1)/12</f>
        <v>6426.416667</v>
      </c>
      <c r="E49" s="4">
        <f t="shared" si="5"/>
        <v>7093.708443</v>
      </c>
      <c r="F49" s="4">
        <f t="shared" si="6"/>
        <v>667.291776</v>
      </c>
      <c r="G49" s="4">
        <f t="shared" si="7"/>
        <v>4491.216036</v>
      </c>
      <c r="H49" s="4">
        <f t="array" ref="H49">XLOOKUP(A49, 'Transposed Data'!A:A, 'Transposed Data'!V:V, "missing", -1)/12</f>
        <v>7224.166667</v>
      </c>
      <c r="I49" s="4">
        <f t="shared" si="8"/>
        <v>7974.261185</v>
      </c>
      <c r="J49" s="4">
        <f t="shared" si="1"/>
        <v>750.0945179</v>
      </c>
      <c r="K49" s="4">
        <f t="shared" si="9"/>
        <v>5047.930777</v>
      </c>
      <c r="L49" s="4">
        <f t="array" ref="L49">XLOOKUP(A49, 'Transposed Data'!A:A, 'Transposed Data'!AA:AA, "missing", -1)/12</f>
        <v>8735</v>
      </c>
      <c r="M49" s="4">
        <f t="shared" si="10"/>
        <v>9642.018023</v>
      </c>
      <c r="N49" s="4">
        <f t="shared" si="2"/>
        <v>907.0180233</v>
      </c>
      <c r="O49" s="4">
        <f t="shared" si="11"/>
        <v>6105.235671</v>
      </c>
      <c r="P49" s="4">
        <f t="array" ref="P49">XLOOKUP(A49, 'Transposed Data'!A:A, 'Transposed Data'!AF:AF, "missing", -1)/12</f>
        <v>10268.33333</v>
      </c>
      <c r="Q49" s="4">
        <f t="shared" si="12"/>
        <v>11334.41812</v>
      </c>
      <c r="R49" s="4">
        <f t="shared" si="3"/>
        <v>1066.084782</v>
      </c>
      <c r="S49" s="4">
        <f t="shared" si="13"/>
        <v>7172.497953</v>
      </c>
      <c r="T49" s="4">
        <f t="array" ref="T49">XLOOKUP(A49, 'Transposed Data'!A:A, 'Transposed Data'!AL:AL, "missing", -1)/12</f>
        <v>13452.58333</v>
      </c>
      <c r="U49" s="4">
        <f t="shared" si="14"/>
        <v>14849.33468</v>
      </c>
      <c r="V49" s="4">
        <f t="shared" si="4"/>
        <v>1396.751347</v>
      </c>
      <c r="W49" s="4">
        <f t="shared" si="15"/>
        <v>9398.874195</v>
      </c>
    </row>
    <row r="50">
      <c r="A50" s="1">
        <v>45261.0</v>
      </c>
      <c r="B50" s="14">
        <f t="array" ref="B50">XLOOKUP(A50, SLCI!A:A, SLCI!B:B, "missing", -1)/3</f>
        <v>0.3666666667</v>
      </c>
      <c r="C50" s="14">
        <f t="array" ref="C50">XLOOKUP(A50, CPI!A:A, CPI!B:B, "missing", -1)/3</f>
        <v>0.2</v>
      </c>
      <c r="D50" s="4">
        <f t="array" ref="D50">XLOOKUP(A50, 'Transposed Data'!A:A, 'Transposed Data'!R:R, "missing", -1)/12</f>
        <v>6426.416667</v>
      </c>
      <c r="E50" s="4">
        <f t="shared" si="5"/>
        <v>7119.718707</v>
      </c>
      <c r="F50" s="4">
        <f t="shared" si="6"/>
        <v>693.3020403</v>
      </c>
      <c r="G50" s="4">
        <f t="shared" si="7"/>
        <v>5184.518076</v>
      </c>
      <c r="H50" s="4">
        <f t="array" ref="H50">XLOOKUP(A50, 'Transposed Data'!A:A, 'Transposed Data'!V:V, "missing", -1)/12</f>
        <v>7224.166667</v>
      </c>
      <c r="I50" s="4">
        <f t="shared" si="8"/>
        <v>8003.500142</v>
      </c>
      <c r="J50" s="4">
        <f t="shared" si="1"/>
        <v>779.3334756</v>
      </c>
      <c r="K50" s="4">
        <f t="shared" si="9"/>
        <v>5827.264252</v>
      </c>
      <c r="L50" s="4">
        <f t="array" ref="L50">XLOOKUP(A50, 'Transposed Data'!A:A, 'Transposed Data'!AA:AA, "missing", -1)/12</f>
        <v>8735</v>
      </c>
      <c r="M50" s="4">
        <f t="shared" si="10"/>
        <v>9677.372089</v>
      </c>
      <c r="N50" s="4">
        <f t="shared" si="2"/>
        <v>942.3720893</v>
      </c>
      <c r="O50" s="4">
        <f t="shared" si="11"/>
        <v>7047.60776</v>
      </c>
      <c r="P50" s="4">
        <f t="array" ref="P50">XLOOKUP(A50, 'Transposed Data'!A:A, 'Transposed Data'!AF:AF, "missing", -1)/12</f>
        <v>10268.33333</v>
      </c>
      <c r="Q50" s="4">
        <f t="shared" si="12"/>
        <v>11375.97765</v>
      </c>
      <c r="R50" s="4">
        <f t="shared" si="3"/>
        <v>1107.644315</v>
      </c>
      <c r="S50" s="4">
        <f t="shared" si="13"/>
        <v>8280.142268</v>
      </c>
      <c r="T50" s="4">
        <f t="array" ref="T50">XLOOKUP(A50, 'Transposed Data'!A:A, 'Transposed Data'!AL:AL, "missing", -1)/12</f>
        <v>13452.58333</v>
      </c>
      <c r="U50" s="4">
        <f t="shared" si="14"/>
        <v>14903.78224</v>
      </c>
      <c r="V50" s="4">
        <f t="shared" si="4"/>
        <v>1451.198907</v>
      </c>
      <c r="W50" s="4">
        <f t="shared" si="15"/>
        <v>10850.0731</v>
      </c>
    </row>
    <row r="51">
      <c r="A51" s="1">
        <v>45292.0</v>
      </c>
      <c r="B51" s="14">
        <f t="array" ref="B51">XLOOKUP(A51, SLCI!A:A, SLCI!B:B, "missing", -1)/3</f>
        <v>0.3666666667</v>
      </c>
      <c r="C51" s="14">
        <f t="array" ref="C51">XLOOKUP(A51, CPI!A:A, CPI!B:B, "missing", -1)/3</f>
        <v>0.2</v>
      </c>
      <c r="D51" s="4">
        <f t="array" ref="D51">XLOOKUP(A51, 'Transposed Data'!A:A, 'Transposed Data'!R:R, "missing", -1)/12</f>
        <v>6426.416667</v>
      </c>
      <c r="E51" s="4">
        <f t="shared" si="5"/>
        <v>7145.824342</v>
      </c>
      <c r="F51" s="4">
        <f t="shared" si="6"/>
        <v>719.4076755</v>
      </c>
      <c r="G51" s="4">
        <f t="shared" si="7"/>
        <v>5903.925752</v>
      </c>
      <c r="H51" s="4">
        <f t="array" ref="H51">XLOOKUP(A51, 'Transposed Data'!A:A, 'Transposed Data'!V:V, "missing", -1)/12</f>
        <v>7224.166667</v>
      </c>
      <c r="I51" s="4">
        <f t="shared" si="8"/>
        <v>8032.846309</v>
      </c>
      <c r="J51" s="4">
        <f t="shared" si="1"/>
        <v>808.6796427</v>
      </c>
      <c r="K51" s="4">
        <f t="shared" si="9"/>
        <v>6635.943895</v>
      </c>
      <c r="L51" s="4">
        <f t="array" ref="L51">XLOOKUP(A51, 'Transposed Data'!A:A, 'Transposed Data'!AA:AA, "missing", -1)/12</f>
        <v>8735</v>
      </c>
      <c r="M51" s="4">
        <f t="shared" si="10"/>
        <v>9712.855787</v>
      </c>
      <c r="N51" s="4">
        <f t="shared" si="2"/>
        <v>977.855787</v>
      </c>
      <c r="O51" s="4">
        <f t="shared" si="11"/>
        <v>8025.463547</v>
      </c>
      <c r="P51" s="4">
        <f t="array" ref="P51">XLOOKUP(A51, 'Transposed Data'!A:A, 'Transposed Data'!AF:AF, "missing", -1)/12</f>
        <v>10268.33333</v>
      </c>
      <c r="Q51" s="4">
        <f t="shared" si="12"/>
        <v>11417.68957</v>
      </c>
      <c r="R51" s="4">
        <f t="shared" si="3"/>
        <v>1149.356233</v>
      </c>
      <c r="S51" s="4">
        <f t="shared" si="13"/>
        <v>9429.498502</v>
      </c>
      <c r="T51" s="4">
        <f t="array" ref="T51">XLOOKUP(A51, 'Transposed Data'!A:A, 'Transposed Data'!AL:AL, "missing", -1)/12</f>
        <v>13452.58333</v>
      </c>
      <c r="U51" s="4">
        <f t="shared" si="14"/>
        <v>14958.42944</v>
      </c>
      <c r="V51" s="4">
        <f t="shared" si="4"/>
        <v>1505.846109</v>
      </c>
      <c r="W51" s="4">
        <f t="shared" si="15"/>
        <v>12355.91921</v>
      </c>
    </row>
    <row r="52">
      <c r="A52" s="1">
        <v>45323.0</v>
      </c>
      <c r="B52" s="14">
        <f t="array" ref="B52">XLOOKUP(A52, SLCI!A:A, SLCI!B:B, "missing", -1)/3</f>
        <v>0.3666666667</v>
      </c>
      <c r="C52" s="14">
        <f t="array" ref="C52">XLOOKUP(A52, CPI!A:A, CPI!B:B, "missing", -1)/3</f>
        <v>0.2</v>
      </c>
      <c r="D52" s="4">
        <f t="array" ref="D52">XLOOKUP(A52, 'Transposed Data'!A:A, 'Transposed Data'!R:R, "missing", -1)/12</f>
        <v>6426.416667</v>
      </c>
      <c r="E52" s="4">
        <f t="shared" si="5"/>
        <v>7172.025698</v>
      </c>
      <c r="F52" s="4">
        <f t="shared" si="6"/>
        <v>745.6090314</v>
      </c>
      <c r="G52" s="4">
        <f t="shared" si="7"/>
        <v>6649.534783</v>
      </c>
      <c r="H52" s="4">
        <f t="array" ref="H52">XLOOKUP(A52, 'Transposed Data'!A:A, 'Transposed Data'!V:V, "missing", -1)/12</f>
        <v>7224.166667</v>
      </c>
      <c r="I52" s="4">
        <f t="shared" si="8"/>
        <v>8062.300079</v>
      </c>
      <c r="J52" s="4">
        <f t="shared" si="1"/>
        <v>838.1334125</v>
      </c>
      <c r="K52" s="4">
        <f t="shared" si="9"/>
        <v>7474.077308</v>
      </c>
      <c r="L52" s="4">
        <f t="array" ref="L52">XLOOKUP(A52, 'Transposed Data'!A:A, 'Transposed Data'!AA:AA, "missing", -1)/12</f>
        <v>8735</v>
      </c>
      <c r="M52" s="4">
        <f t="shared" si="10"/>
        <v>9748.469592</v>
      </c>
      <c r="N52" s="4">
        <f t="shared" si="2"/>
        <v>1013.469592</v>
      </c>
      <c r="O52" s="4">
        <f t="shared" si="11"/>
        <v>9038.933138</v>
      </c>
      <c r="P52" s="4">
        <f t="array" ref="P52">XLOOKUP(A52, 'Transposed Data'!A:A, 'Transposed Data'!AF:AF, "missing", -1)/12</f>
        <v>10268.33333</v>
      </c>
      <c r="Q52" s="4">
        <f t="shared" si="12"/>
        <v>11459.55443</v>
      </c>
      <c r="R52" s="4">
        <f t="shared" si="3"/>
        <v>1191.221095</v>
      </c>
      <c r="S52" s="4">
        <f t="shared" si="13"/>
        <v>10620.7196</v>
      </c>
      <c r="T52" s="4">
        <f t="array" ref="T52">XLOOKUP(A52, 'Transposed Data'!A:A, 'Transposed Data'!AL:AL, "missing", -1)/12</f>
        <v>13452.58333</v>
      </c>
      <c r="U52" s="4">
        <f t="shared" si="14"/>
        <v>15013.27702</v>
      </c>
      <c r="V52" s="4">
        <f t="shared" si="4"/>
        <v>1560.693684</v>
      </c>
      <c r="W52" s="4">
        <f t="shared" si="15"/>
        <v>13916.6129</v>
      </c>
    </row>
    <row r="53">
      <c r="A53" s="1">
        <v>45352.0</v>
      </c>
      <c r="B53" s="14">
        <f t="array" ref="B53">XLOOKUP(A53, SLCI!A:A, SLCI!B:B, "missing", -1)/3</f>
        <v>0.5666666667</v>
      </c>
      <c r="C53" s="14">
        <f t="array" ref="C53">XLOOKUP(A53, CPI!A:A, CPI!B:B, "missing", -1)/3</f>
        <v>0.3</v>
      </c>
      <c r="D53" s="4">
        <f t="array" ref="D53">XLOOKUP(A53, 'Transposed Data'!A:A, 'Transposed Data'!R:R, "missing", -1)/12</f>
        <v>6426.416667</v>
      </c>
      <c r="E53" s="4">
        <f t="shared" si="5"/>
        <v>7212.667177</v>
      </c>
      <c r="F53" s="4">
        <f t="shared" si="6"/>
        <v>786.2505104</v>
      </c>
      <c r="G53" s="4">
        <f t="shared" si="7"/>
        <v>7435.785294</v>
      </c>
      <c r="H53" s="4">
        <f t="array" ref="H53">XLOOKUP(A53, 'Transposed Data'!A:A, 'Transposed Data'!V:V, "missing", -1)/12</f>
        <v>7224.166667</v>
      </c>
      <c r="I53" s="4">
        <f t="shared" si="8"/>
        <v>8107.986446</v>
      </c>
      <c r="J53" s="4">
        <f t="shared" si="1"/>
        <v>883.8197797</v>
      </c>
      <c r="K53" s="4">
        <f t="shared" si="9"/>
        <v>8357.897087</v>
      </c>
      <c r="L53" s="4">
        <f t="array" ref="L53">XLOOKUP(A53, 'Transposed Data'!A:A, 'Transposed Data'!AA:AA, "missing", -1)/12</f>
        <v>8735</v>
      </c>
      <c r="M53" s="4">
        <f t="shared" si="10"/>
        <v>9803.710919</v>
      </c>
      <c r="N53" s="4">
        <f t="shared" si="2"/>
        <v>1068.710919</v>
      </c>
      <c r="O53" s="4">
        <f t="shared" si="11"/>
        <v>10107.64406</v>
      </c>
      <c r="P53" s="4">
        <f t="array" ref="P53">XLOOKUP(A53, 'Transposed Data'!A:A, 'Transposed Data'!AF:AF, "missing", -1)/12</f>
        <v>10268.33333</v>
      </c>
      <c r="Q53" s="4">
        <f t="shared" si="12"/>
        <v>11524.4919</v>
      </c>
      <c r="R53" s="4">
        <f t="shared" si="3"/>
        <v>1256.15857</v>
      </c>
      <c r="S53" s="4">
        <f t="shared" si="13"/>
        <v>11876.87817</v>
      </c>
      <c r="T53" s="4">
        <f t="array" ref="T53">XLOOKUP(A53, 'Transposed Data'!A:A, 'Transposed Data'!AL:AL, "missing", -1)/12</f>
        <v>13452.58333</v>
      </c>
      <c r="U53" s="4">
        <f t="shared" si="14"/>
        <v>15098.35225</v>
      </c>
      <c r="V53" s="4">
        <f t="shared" si="4"/>
        <v>1645.76892</v>
      </c>
      <c r="W53" s="4">
        <f t="shared" si="15"/>
        <v>15562.38181</v>
      </c>
    </row>
    <row r="54">
      <c r="A54" s="1">
        <v>45383.0</v>
      </c>
      <c r="B54" s="14">
        <f t="array" ref="B54">XLOOKUP(A54, SLCI!A:A, SLCI!B:B, "missing", -1)/3</f>
        <v>0.5666666667</v>
      </c>
      <c r="C54" s="14">
        <f t="array" ref="C54">XLOOKUP(A54, CPI!A:A, CPI!B:B, "missing", -1)/3</f>
        <v>0.3</v>
      </c>
      <c r="D54" s="4">
        <f t="array" ref="D54">XLOOKUP(A54, 'Transposed Data'!A:A, 'Transposed Data'!R:R, "missing", -1)/12</f>
        <v>6683.5</v>
      </c>
      <c r="E54" s="4">
        <f t="shared" si="5"/>
        <v>7253.538958</v>
      </c>
      <c r="F54" s="4">
        <f t="shared" si="6"/>
        <v>570.0389577</v>
      </c>
      <c r="G54" s="4">
        <f t="shared" si="7"/>
        <v>8005.824252</v>
      </c>
      <c r="H54" s="4">
        <f t="array" ref="H54">XLOOKUP(A54, 'Transposed Data'!A:A, 'Transposed Data'!V:V, "missing", -1)/12</f>
        <v>7513.166667</v>
      </c>
      <c r="I54" s="4">
        <f t="shared" si="8"/>
        <v>8153.931703</v>
      </c>
      <c r="J54" s="4">
        <f t="shared" si="1"/>
        <v>640.7650362</v>
      </c>
      <c r="K54" s="4">
        <f t="shared" si="9"/>
        <v>8998.662124</v>
      </c>
      <c r="L54" s="4">
        <f t="array" ref="L54">XLOOKUP(A54, 'Transposed Data'!A:A, 'Transposed Data'!AA:AA, "missing", -1)/12</f>
        <v>9084.416667</v>
      </c>
      <c r="M54" s="4">
        <f t="shared" si="10"/>
        <v>9859.265281</v>
      </c>
      <c r="N54" s="4">
        <f t="shared" si="2"/>
        <v>774.8486145</v>
      </c>
      <c r="O54" s="4">
        <f t="shared" si="11"/>
        <v>10882.49267</v>
      </c>
      <c r="P54" s="4">
        <f t="array" ref="P54">XLOOKUP(A54, 'Transposed Data'!A:A, 'Transposed Data'!AF:AF, "missing", -1)/12</f>
        <v>10679.08333</v>
      </c>
      <c r="Q54" s="4">
        <f t="shared" si="12"/>
        <v>11589.79736</v>
      </c>
      <c r="R54" s="4">
        <f t="shared" si="3"/>
        <v>910.7140245</v>
      </c>
      <c r="S54" s="4">
        <f t="shared" si="13"/>
        <v>12787.59219</v>
      </c>
      <c r="T54" s="4">
        <f t="array" ref="T54">XLOOKUP(A54, 'Transposed Data'!A:A, 'Transposed Data'!AL:AL, "missing", -1)/12</f>
        <v>13990.66667</v>
      </c>
      <c r="U54" s="4">
        <f t="shared" si="14"/>
        <v>15183.90958</v>
      </c>
      <c r="V54" s="4">
        <f t="shared" si="4"/>
        <v>1193.242916</v>
      </c>
      <c r="W54" s="4">
        <f t="shared" si="15"/>
        <v>16755.62473</v>
      </c>
    </row>
    <row r="55">
      <c r="A55" s="1">
        <v>45413.0</v>
      </c>
      <c r="B55" s="14">
        <f t="array" ref="B55">XLOOKUP(A55, SLCI!A:A, SLCI!B:B, "missing", -1)/3</f>
        <v>0.5666666667</v>
      </c>
      <c r="C55" s="14">
        <f t="array" ref="C55">XLOOKUP(A55, CPI!A:A, CPI!B:B, "missing", -1)/3</f>
        <v>0.3</v>
      </c>
      <c r="D55" s="4">
        <f t="array" ref="D55">XLOOKUP(A55, 'Transposed Data'!A:A, 'Transposed Data'!R:R, "missing", -1)/12</f>
        <v>6683.5</v>
      </c>
      <c r="E55" s="4">
        <f t="shared" si="5"/>
        <v>7294.642345</v>
      </c>
      <c r="F55" s="4">
        <f t="shared" si="6"/>
        <v>611.1423452</v>
      </c>
      <c r="G55" s="4">
        <f t="shared" si="7"/>
        <v>8616.966597</v>
      </c>
      <c r="H55" s="4">
        <f t="array" ref="H55">XLOOKUP(A55, 'Transposed Data'!A:A, 'Transposed Data'!V:V, "missing", -1)/12</f>
        <v>7513.166667</v>
      </c>
      <c r="I55" s="4">
        <f t="shared" si="8"/>
        <v>8200.137316</v>
      </c>
      <c r="J55" s="4">
        <f t="shared" si="1"/>
        <v>686.9706492</v>
      </c>
      <c r="K55" s="4">
        <f t="shared" si="9"/>
        <v>9685.632773</v>
      </c>
      <c r="L55" s="4">
        <f t="array" ref="L55">XLOOKUP(A55, 'Transposed Data'!A:A, 'Transposed Data'!AA:AA, "missing", -1)/12</f>
        <v>9084.416667</v>
      </c>
      <c r="M55" s="4">
        <f t="shared" si="10"/>
        <v>9915.134451</v>
      </c>
      <c r="N55" s="4">
        <f t="shared" si="2"/>
        <v>830.7177844</v>
      </c>
      <c r="O55" s="4">
        <f t="shared" si="11"/>
        <v>11713.21046</v>
      </c>
      <c r="P55" s="4">
        <f t="array" ref="P55">XLOOKUP(A55, 'Transposed Data'!A:A, 'Transposed Data'!AF:AF, "missing", -1)/12</f>
        <v>10679.08333</v>
      </c>
      <c r="Q55" s="4">
        <f t="shared" si="12"/>
        <v>11655.47288</v>
      </c>
      <c r="R55" s="4">
        <f t="shared" si="3"/>
        <v>976.3895428</v>
      </c>
      <c r="S55" s="4">
        <f t="shared" si="13"/>
        <v>13763.98173</v>
      </c>
      <c r="T55" s="4">
        <f t="array" ref="T55">XLOOKUP(A55, 'Transposed Data'!A:A, 'Transposed Data'!AL:AL, "missing", -1)/12</f>
        <v>13990.66667</v>
      </c>
      <c r="U55" s="4">
        <f t="shared" si="14"/>
        <v>15269.95174</v>
      </c>
      <c r="V55" s="4">
        <f t="shared" si="4"/>
        <v>1279.28507</v>
      </c>
      <c r="W55" s="4">
        <f t="shared" si="15"/>
        <v>18034.9098</v>
      </c>
    </row>
    <row r="56">
      <c r="A56" s="1">
        <v>45444.0</v>
      </c>
      <c r="B56" s="14">
        <f t="array" ref="B56">XLOOKUP(A56, SLCI!A:A, SLCI!B:B, "missing", -1)/3</f>
        <v>0.4333333333</v>
      </c>
      <c r="C56" s="14">
        <f t="array" ref="C56">XLOOKUP(A56, CPI!A:A, CPI!B:B, "missing", -1)/3</f>
        <v>0.3333333333</v>
      </c>
      <c r="D56" s="4">
        <f t="array" ref="D56">XLOOKUP(A56, 'Transposed Data'!A:A, 'Transposed Data'!R:R, "missing", -1)/12</f>
        <v>6683.5</v>
      </c>
      <c r="E56" s="4">
        <f t="shared" si="5"/>
        <v>7326.252462</v>
      </c>
      <c r="F56" s="4">
        <f t="shared" si="6"/>
        <v>642.752462</v>
      </c>
      <c r="G56" s="4">
        <f t="shared" si="7"/>
        <v>9259.719059</v>
      </c>
      <c r="H56" s="4">
        <f t="array" ref="H56">XLOOKUP(A56, 'Transposed Data'!A:A, 'Transposed Data'!V:V, "missing", -1)/12</f>
        <v>7513.166667</v>
      </c>
      <c r="I56" s="4">
        <f t="shared" si="8"/>
        <v>8235.671244</v>
      </c>
      <c r="J56" s="4">
        <f t="shared" si="1"/>
        <v>722.5045775</v>
      </c>
      <c r="K56" s="4">
        <f t="shared" si="9"/>
        <v>10408.13735</v>
      </c>
      <c r="L56" s="4">
        <f t="array" ref="L56">XLOOKUP(A56, 'Transposed Data'!A:A, 'Transposed Data'!AA:AA, "missing", -1)/12</f>
        <v>9084.416667</v>
      </c>
      <c r="M56" s="4">
        <f t="shared" si="10"/>
        <v>9958.100034</v>
      </c>
      <c r="N56" s="4">
        <f t="shared" si="2"/>
        <v>873.683367</v>
      </c>
      <c r="O56" s="4">
        <f t="shared" si="11"/>
        <v>12586.89382</v>
      </c>
      <c r="P56" s="4">
        <f t="array" ref="P56">XLOOKUP(A56, 'Transposed Data'!A:A, 'Transposed Data'!AF:AF, "missing", -1)/12</f>
        <v>10679.08333</v>
      </c>
      <c r="Q56" s="4">
        <f t="shared" si="12"/>
        <v>11705.97993</v>
      </c>
      <c r="R56" s="4">
        <f t="shared" si="3"/>
        <v>1026.896592</v>
      </c>
      <c r="S56" s="4">
        <f t="shared" si="13"/>
        <v>14790.87833</v>
      </c>
      <c r="T56" s="4">
        <f t="array" ref="T56">XLOOKUP(A56, 'Transposed Data'!A:A, 'Transposed Data'!AL:AL, "missing", -1)/12</f>
        <v>13990.66667</v>
      </c>
      <c r="U56" s="4">
        <f t="shared" si="14"/>
        <v>15336.12153</v>
      </c>
      <c r="V56" s="4">
        <f t="shared" si="4"/>
        <v>1345.454861</v>
      </c>
      <c r="W56" s="4">
        <f t="shared" si="15"/>
        <v>19380.36466</v>
      </c>
    </row>
    <row r="57">
      <c r="A57" s="1">
        <v>45474.0</v>
      </c>
      <c r="B57" s="14">
        <f t="array" ref="B57">XLOOKUP(A57, SLCI!A:A, SLCI!B:B, "missing", -1)/3</f>
        <v>0.4333333333</v>
      </c>
      <c r="C57" s="14">
        <f t="array" ref="C57">XLOOKUP(A57, CPI!A:A, CPI!B:B, "missing", -1)/3</f>
        <v>0.3333333333</v>
      </c>
      <c r="D57" s="4">
        <f t="array" ref="D57">XLOOKUP(A57, 'Transposed Data'!A:A, 'Transposed Data'!R:R, "missing", -1)/12</f>
        <v>6683.5</v>
      </c>
      <c r="E57" s="4">
        <f t="shared" si="5"/>
        <v>7357.999556</v>
      </c>
      <c r="F57" s="4">
        <f t="shared" si="6"/>
        <v>674.499556</v>
      </c>
      <c r="G57" s="4">
        <f t="shared" si="7"/>
        <v>9934.218615</v>
      </c>
      <c r="H57" s="4">
        <f t="array" ref="H57">XLOOKUP(A57, 'Transposed Data'!A:A, 'Transposed Data'!V:V, "missing", -1)/12</f>
        <v>7513.166667</v>
      </c>
      <c r="I57" s="4">
        <f t="shared" si="8"/>
        <v>8271.359153</v>
      </c>
      <c r="J57" s="4">
        <f t="shared" si="1"/>
        <v>758.1924863</v>
      </c>
      <c r="K57" s="4">
        <f t="shared" si="9"/>
        <v>11166.32984</v>
      </c>
      <c r="L57" s="4">
        <f t="array" ref="L57">XLOOKUP(A57, 'Transposed Data'!A:A, 'Transposed Data'!AA:AA, "missing", -1)/12</f>
        <v>9084.416667</v>
      </c>
      <c r="M57" s="4">
        <f t="shared" si="10"/>
        <v>10001.2518</v>
      </c>
      <c r="N57" s="4">
        <f t="shared" si="2"/>
        <v>916.8351338</v>
      </c>
      <c r="O57" s="4">
        <f t="shared" si="11"/>
        <v>13503.72896</v>
      </c>
      <c r="P57" s="4">
        <f t="array" ref="P57">XLOOKUP(A57, 'Transposed Data'!A:A, 'Transposed Data'!AF:AF, "missing", -1)/12</f>
        <v>10679.08333</v>
      </c>
      <c r="Q57" s="4">
        <f t="shared" si="12"/>
        <v>11756.70584</v>
      </c>
      <c r="R57" s="4">
        <f t="shared" si="3"/>
        <v>1077.622505</v>
      </c>
      <c r="S57" s="4">
        <f t="shared" si="13"/>
        <v>15868.50083</v>
      </c>
      <c r="T57" s="4">
        <f t="array" ref="T57">XLOOKUP(A57, 'Transposed Data'!A:A, 'Transposed Data'!AL:AL, "missing", -1)/12</f>
        <v>13990.66667</v>
      </c>
      <c r="U57" s="4">
        <f t="shared" si="14"/>
        <v>15402.57805</v>
      </c>
      <c r="V57" s="4">
        <f t="shared" si="4"/>
        <v>1411.911388</v>
      </c>
      <c r="W57" s="4">
        <f t="shared" si="15"/>
        <v>20792.27605</v>
      </c>
    </row>
    <row r="58">
      <c r="A58" s="1">
        <v>45505.0</v>
      </c>
      <c r="B58" s="14">
        <f t="array" ref="B58">XLOOKUP(A58, SLCI!A:A, SLCI!B:B, "missing", -1)/3</f>
        <v>0.4333333333</v>
      </c>
      <c r="C58" s="14">
        <f t="array" ref="C58">XLOOKUP(A58, CPI!A:A, CPI!B:B, "missing", -1)/3</f>
        <v>0.3333333333</v>
      </c>
      <c r="D58" s="4">
        <f t="array" ref="D58">XLOOKUP(A58, 'Transposed Data'!A:A, 'Transposed Data'!R:R, "missing", -1)/12</f>
        <v>6683.5</v>
      </c>
      <c r="E58" s="4">
        <f t="shared" si="5"/>
        <v>7389.884221</v>
      </c>
      <c r="F58" s="4">
        <f t="shared" si="6"/>
        <v>706.3842207</v>
      </c>
      <c r="G58" s="4">
        <f t="shared" si="7"/>
        <v>10640.60284</v>
      </c>
      <c r="H58" s="4">
        <f t="array" ref="H58">XLOOKUP(A58, 'Transposed Data'!A:A, 'Transposed Data'!V:V, "missing", -1)/12</f>
        <v>7513.166667</v>
      </c>
      <c r="I58" s="4">
        <f t="shared" si="8"/>
        <v>8307.201709</v>
      </c>
      <c r="J58" s="4">
        <f t="shared" si="1"/>
        <v>794.0350426</v>
      </c>
      <c r="K58" s="4">
        <f t="shared" si="9"/>
        <v>11960.36488</v>
      </c>
      <c r="L58" s="4">
        <f t="array" ref="L58">XLOOKUP(A58, 'Transposed Data'!A:A, 'Transposed Data'!AA:AA, "missing", -1)/12</f>
        <v>9084.416667</v>
      </c>
      <c r="M58" s="4">
        <f t="shared" si="10"/>
        <v>10044.59056</v>
      </c>
      <c r="N58" s="4">
        <f t="shared" si="2"/>
        <v>960.1738916</v>
      </c>
      <c r="O58" s="4">
        <f t="shared" si="11"/>
        <v>14463.90285</v>
      </c>
      <c r="P58" s="4">
        <f t="array" ref="P58">XLOOKUP(A58, 'Transposed Data'!A:A, 'Transposed Data'!AF:AF, "missing", -1)/12</f>
        <v>10679.08333</v>
      </c>
      <c r="Q58" s="4">
        <f t="shared" si="12"/>
        <v>11807.65156</v>
      </c>
      <c r="R58" s="4">
        <f t="shared" si="3"/>
        <v>1128.56823</v>
      </c>
      <c r="S58" s="4">
        <f t="shared" si="13"/>
        <v>16997.06906</v>
      </c>
      <c r="T58" s="4">
        <f t="array" ref="T58">XLOOKUP(A58, 'Transposed Data'!A:A, 'Transposed Data'!AL:AL, "missing", -1)/12</f>
        <v>13990.66667</v>
      </c>
      <c r="U58" s="4">
        <f t="shared" si="14"/>
        <v>15469.32256</v>
      </c>
      <c r="V58" s="4">
        <f t="shared" si="4"/>
        <v>1478.655893</v>
      </c>
      <c r="W58" s="4">
        <f t="shared" si="15"/>
        <v>22270.93194</v>
      </c>
    </row>
    <row r="59">
      <c r="A59" s="1">
        <v>45536.0</v>
      </c>
      <c r="B59" s="14">
        <f t="array" ref="B59">XLOOKUP(A59, SLCI!A:A, SLCI!B:B, "missing", -1)/3</f>
        <v>0.2</v>
      </c>
      <c r="C59" s="14">
        <f t="array" ref="C59">XLOOKUP(A59, CPI!A:A, CPI!B:B, "missing", -1)/3</f>
        <v>0.06666666667</v>
      </c>
      <c r="D59" s="4">
        <f t="array" ref="D59">XLOOKUP(A59, 'Transposed Data'!A:A, 'Transposed Data'!R:R, "missing", -1)/12</f>
        <v>6683.5</v>
      </c>
      <c r="E59" s="4">
        <f t="shared" si="5"/>
        <v>7404.663989</v>
      </c>
      <c r="F59" s="4">
        <f t="shared" si="6"/>
        <v>721.1639892</v>
      </c>
      <c r="G59" s="4">
        <f t="shared" si="7"/>
        <v>11361.76682</v>
      </c>
      <c r="H59" s="4">
        <f t="array" ref="H59">XLOOKUP(A59, 'Transposed Data'!A:A, 'Transposed Data'!V:V, "missing", -1)/12</f>
        <v>7513.166667</v>
      </c>
      <c r="I59" s="4">
        <f t="shared" si="8"/>
        <v>8323.816113</v>
      </c>
      <c r="J59" s="4">
        <f t="shared" si="1"/>
        <v>810.649446</v>
      </c>
      <c r="K59" s="4">
        <f t="shared" si="9"/>
        <v>12771.01433</v>
      </c>
      <c r="L59" s="4">
        <f t="array" ref="L59">XLOOKUP(A59, 'Transposed Data'!A:A, 'Transposed Data'!AA:AA, "missing", -1)/12</f>
        <v>9084.416667</v>
      </c>
      <c r="M59" s="4">
        <f t="shared" si="10"/>
        <v>10064.67974</v>
      </c>
      <c r="N59" s="4">
        <f t="shared" si="2"/>
        <v>980.2630727</v>
      </c>
      <c r="O59" s="4">
        <f t="shared" si="11"/>
        <v>15444.16592</v>
      </c>
      <c r="P59" s="4">
        <f t="array" ref="P59">XLOOKUP(A59, 'Transposed Data'!A:A, 'Transposed Data'!AF:AF, "missing", -1)/12</f>
        <v>10679.08333</v>
      </c>
      <c r="Q59" s="4">
        <f t="shared" si="12"/>
        <v>11831.26687</v>
      </c>
      <c r="R59" s="4">
        <f t="shared" si="3"/>
        <v>1152.183533</v>
      </c>
      <c r="S59" s="4">
        <f t="shared" si="13"/>
        <v>18149.2526</v>
      </c>
      <c r="T59" s="4">
        <f t="array" ref="T59">XLOOKUP(A59, 'Transposed Data'!A:A, 'Transposed Data'!AL:AL, "missing", -1)/12</f>
        <v>13990.66667</v>
      </c>
      <c r="U59" s="4">
        <f t="shared" si="14"/>
        <v>15500.2612</v>
      </c>
      <c r="V59" s="4">
        <f t="shared" si="4"/>
        <v>1509.594538</v>
      </c>
      <c r="W59" s="4">
        <f t="shared" si="15"/>
        <v>23780.52648</v>
      </c>
    </row>
    <row r="60">
      <c r="A60" s="1">
        <v>45566.0</v>
      </c>
      <c r="B60" s="14">
        <f t="array" ref="B60">XLOOKUP(A60, SLCI!A:A, SLCI!B:B, "missing", -1)/3</f>
        <v>0.2</v>
      </c>
      <c r="C60" s="14">
        <f t="array" ref="C60">XLOOKUP(A60, CPI!A:A, CPI!B:B, "missing", -1)/3</f>
        <v>0.06666666667</v>
      </c>
      <c r="D60" s="4">
        <f t="array" ref="D60">XLOOKUP(A60, 'Transposed Data'!A:A, 'Transposed Data'!R:R, "missing", -1)/12</f>
        <v>6683.5</v>
      </c>
      <c r="E60" s="4">
        <f t="shared" si="5"/>
        <v>7419.473317</v>
      </c>
      <c r="F60" s="4">
        <f t="shared" si="6"/>
        <v>735.9733172</v>
      </c>
      <c r="G60" s="4">
        <f t="shared" si="7"/>
        <v>12097.74014</v>
      </c>
      <c r="H60" s="4">
        <f t="array" ref="H60">XLOOKUP(A60, 'Transposed Data'!A:A, 'Transposed Data'!V:V, "missing", -1)/12</f>
        <v>7513.166667</v>
      </c>
      <c r="I60" s="4">
        <f t="shared" si="8"/>
        <v>8340.463745</v>
      </c>
      <c r="J60" s="4">
        <f t="shared" si="1"/>
        <v>827.2970782</v>
      </c>
      <c r="K60" s="4">
        <f t="shared" si="9"/>
        <v>13598.3114</v>
      </c>
      <c r="L60" s="4">
        <f t="array" ref="L60">XLOOKUP(A60, 'Transposed Data'!A:A, 'Transposed Data'!AA:AA, "missing", -1)/12</f>
        <v>9084.416667</v>
      </c>
      <c r="M60" s="4">
        <f t="shared" si="10"/>
        <v>10084.8091</v>
      </c>
      <c r="N60" s="4">
        <f t="shared" si="2"/>
        <v>1000.392432</v>
      </c>
      <c r="O60" s="4">
        <f t="shared" si="11"/>
        <v>16444.55835</v>
      </c>
      <c r="P60" s="4">
        <f t="array" ref="P60">XLOOKUP(A60, 'Transposed Data'!A:A, 'Transposed Data'!AF:AF, "missing", -1)/12</f>
        <v>10679.08333</v>
      </c>
      <c r="Q60" s="4">
        <f t="shared" si="12"/>
        <v>11854.9294</v>
      </c>
      <c r="R60" s="4">
        <f t="shared" si="3"/>
        <v>1175.846067</v>
      </c>
      <c r="S60" s="4">
        <f t="shared" si="13"/>
        <v>19325.09866</v>
      </c>
      <c r="T60" s="4">
        <f t="array" ref="T60">XLOOKUP(A60, 'Transposed Data'!A:A, 'Transposed Data'!AL:AL, "missing", -1)/12</f>
        <v>13990.66667</v>
      </c>
      <c r="U60" s="4">
        <f t="shared" si="14"/>
        <v>15531.26173</v>
      </c>
      <c r="V60" s="4">
        <f t="shared" si="4"/>
        <v>1540.59506</v>
      </c>
      <c r="W60" s="4">
        <f t="shared" si="15"/>
        <v>25321.12154</v>
      </c>
    </row>
    <row r="61">
      <c r="A61" s="1">
        <v>45597.0</v>
      </c>
      <c r="B61" s="14">
        <f t="array" ref="B61">XLOOKUP(A61, SLCI!A:A, SLCI!B:B, "missing", -1)/3</f>
        <v>0.2</v>
      </c>
      <c r="C61" s="14">
        <f t="array" ref="C61">XLOOKUP(A61, CPI!A:A, CPI!B:B, "missing", -1)/3</f>
        <v>0.06666666667</v>
      </c>
      <c r="D61" s="4">
        <f t="array" ref="D61">XLOOKUP(A61, 'Transposed Data'!A:A, 'Transposed Data'!R:R, "missing", -1)/12</f>
        <v>6683.5</v>
      </c>
      <c r="E61" s="4">
        <f t="shared" si="5"/>
        <v>7434.312264</v>
      </c>
      <c r="F61" s="4">
        <f t="shared" si="6"/>
        <v>750.8122638</v>
      </c>
      <c r="G61" s="4">
        <f t="shared" si="7"/>
        <v>12848.55241</v>
      </c>
      <c r="H61" s="4">
        <f t="array" ref="H61">XLOOKUP(A61, 'Transposed Data'!A:A, 'Transposed Data'!V:V, "missing", -1)/12</f>
        <v>7513.166667</v>
      </c>
      <c r="I61" s="4">
        <f t="shared" si="8"/>
        <v>8357.144672</v>
      </c>
      <c r="J61" s="4">
        <f t="shared" si="1"/>
        <v>843.9780057</v>
      </c>
      <c r="K61" s="4">
        <f t="shared" si="9"/>
        <v>14442.28941</v>
      </c>
      <c r="L61" s="4">
        <f t="array" ref="L61">XLOOKUP(A61, 'Transposed Data'!A:A, 'Transposed Data'!AA:AA, "missing", -1)/12</f>
        <v>9084.416667</v>
      </c>
      <c r="M61" s="4">
        <f t="shared" si="10"/>
        <v>10104.97872</v>
      </c>
      <c r="N61" s="4">
        <f t="shared" si="2"/>
        <v>1020.56205</v>
      </c>
      <c r="O61" s="4">
        <f t="shared" si="11"/>
        <v>17465.1204</v>
      </c>
      <c r="P61" s="4">
        <f t="array" ref="P61">XLOOKUP(A61, 'Transposed Data'!A:A, 'Transposed Data'!AF:AF, "missing", -1)/12</f>
        <v>10679.08333</v>
      </c>
      <c r="Q61" s="4">
        <f t="shared" si="12"/>
        <v>11878.63926</v>
      </c>
      <c r="R61" s="4">
        <f t="shared" si="3"/>
        <v>1199.555926</v>
      </c>
      <c r="S61" s="4">
        <f t="shared" si="13"/>
        <v>20524.65459</v>
      </c>
      <c r="T61" s="4">
        <f t="array" ref="T61">XLOOKUP(A61, 'Transposed Data'!A:A, 'Transposed Data'!AL:AL, "missing", -1)/12</f>
        <v>13990.66667</v>
      </c>
      <c r="U61" s="4">
        <f t="shared" si="14"/>
        <v>15562.32425</v>
      </c>
      <c r="V61" s="4">
        <f t="shared" si="4"/>
        <v>1571.657584</v>
      </c>
      <c r="W61" s="4">
        <f t="shared" si="15"/>
        <v>26892.77913</v>
      </c>
    </row>
    <row r="62">
      <c r="A62" s="1">
        <v>45627.0</v>
      </c>
      <c r="B62" s="14">
        <f t="array" ref="B62">XLOOKUP(A62, SLCI!A:A, SLCI!B:B, "missing", -1)/3</f>
        <v>0.1333333333</v>
      </c>
      <c r="C62" s="14">
        <f t="array" ref="C62">XLOOKUP(A62, CPI!A:A, CPI!B:B, "missing", -1)/3</f>
        <v>0.06666666667</v>
      </c>
      <c r="D62" s="4">
        <f t="array" ref="D62">XLOOKUP(A62, 'Transposed Data'!A:A, 'Transposed Data'!R:R, "missing", -1)/12</f>
        <v>6683.5</v>
      </c>
      <c r="E62" s="4">
        <f t="shared" si="5"/>
        <v>7444.22468</v>
      </c>
      <c r="F62" s="4">
        <f t="shared" si="6"/>
        <v>760.7246801</v>
      </c>
      <c r="G62" s="4">
        <f t="shared" si="7"/>
        <v>13609.27709</v>
      </c>
      <c r="H62" s="4">
        <f t="array" ref="H62">XLOOKUP(A62, 'Transposed Data'!A:A, 'Transposed Data'!V:V, "missing", -1)/12</f>
        <v>7513.166667</v>
      </c>
      <c r="I62" s="4">
        <f t="shared" si="8"/>
        <v>8368.287532</v>
      </c>
      <c r="J62" s="4">
        <f t="shared" si="1"/>
        <v>855.1208653</v>
      </c>
      <c r="K62" s="4">
        <f t="shared" si="9"/>
        <v>15297.41027</v>
      </c>
      <c r="L62" s="4">
        <f t="array" ref="L62">XLOOKUP(A62, 'Transposed Data'!A:A, 'Transposed Data'!AA:AA, "missing", -1)/12</f>
        <v>9084.416667</v>
      </c>
      <c r="M62" s="4">
        <f t="shared" si="10"/>
        <v>10118.45202</v>
      </c>
      <c r="N62" s="4">
        <f t="shared" si="2"/>
        <v>1034.035355</v>
      </c>
      <c r="O62" s="4">
        <f t="shared" si="11"/>
        <v>18499.15576</v>
      </c>
      <c r="P62" s="4">
        <f t="array" ref="P62">XLOOKUP(A62, 'Transposed Data'!A:A, 'Transposed Data'!AF:AF, "missing", -1)/12</f>
        <v>10679.08333</v>
      </c>
      <c r="Q62" s="4">
        <f t="shared" si="12"/>
        <v>11894.47744</v>
      </c>
      <c r="R62" s="4">
        <f t="shared" si="3"/>
        <v>1215.394112</v>
      </c>
      <c r="S62" s="4">
        <f t="shared" si="13"/>
        <v>21740.0487</v>
      </c>
      <c r="T62" s="4">
        <f t="array" ref="T62">XLOOKUP(A62, 'Transposed Data'!A:A, 'Transposed Data'!AL:AL, "missing", -1)/12</f>
        <v>13990.66667</v>
      </c>
      <c r="U62" s="4">
        <f t="shared" si="14"/>
        <v>15583.07402</v>
      </c>
      <c r="V62" s="4">
        <f t="shared" si="4"/>
        <v>1592.407349</v>
      </c>
      <c r="W62" s="4">
        <f t="shared" si="15"/>
        <v>28485.18647</v>
      </c>
    </row>
    <row r="63">
      <c r="A63" s="1">
        <v>45658.0</v>
      </c>
      <c r="B63" s="14">
        <f t="array" ref="B63">XLOOKUP(A63, SLCI!A:A, SLCI!B:B, "missing", -1)/3</f>
        <v>0.1333333333</v>
      </c>
      <c r="C63" s="14">
        <f t="array" ref="C63">XLOOKUP(A63, CPI!A:A, CPI!B:B, "missing", -1)/3</f>
        <v>0.06666666667</v>
      </c>
      <c r="D63" s="4">
        <f t="array" ref="D63">XLOOKUP(A63, 'Transposed Data'!A:A, 'Transposed Data'!R:R, "missing", -1)/12</f>
        <v>6683.5</v>
      </c>
      <c r="E63" s="4">
        <f t="shared" si="5"/>
        <v>7454.150313</v>
      </c>
      <c r="F63" s="4">
        <f t="shared" si="6"/>
        <v>770.6503131</v>
      </c>
      <c r="G63" s="4">
        <f t="shared" si="7"/>
        <v>14379.9274</v>
      </c>
      <c r="H63" s="4">
        <f t="array" ref="H63">XLOOKUP(A63, 'Transposed Data'!A:A, 'Transposed Data'!V:V, "missing", -1)/12</f>
        <v>7513.166667</v>
      </c>
      <c r="I63" s="4">
        <f t="shared" si="8"/>
        <v>8379.445249</v>
      </c>
      <c r="J63" s="4">
        <f t="shared" si="1"/>
        <v>866.278582</v>
      </c>
      <c r="K63" s="4">
        <f t="shared" si="9"/>
        <v>16163.68886</v>
      </c>
      <c r="L63" s="4">
        <f t="array" ref="L63">XLOOKUP(A63, 'Transposed Data'!A:A, 'Transposed Data'!AA:AA, "missing", -1)/12</f>
        <v>9084.416667</v>
      </c>
      <c r="M63" s="4">
        <f t="shared" si="10"/>
        <v>10131.94329</v>
      </c>
      <c r="N63" s="4">
        <f t="shared" si="2"/>
        <v>1047.526625</v>
      </c>
      <c r="O63" s="4">
        <f t="shared" si="11"/>
        <v>19546.68238</v>
      </c>
      <c r="P63" s="4">
        <f t="array" ref="P63">XLOOKUP(A63, 'Transposed Data'!A:A, 'Transposed Data'!AF:AF, "missing", -1)/12</f>
        <v>10679.08333</v>
      </c>
      <c r="Q63" s="4">
        <f t="shared" si="12"/>
        <v>11910.33675</v>
      </c>
      <c r="R63" s="4">
        <f t="shared" si="3"/>
        <v>1231.253415</v>
      </c>
      <c r="S63" s="4">
        <f t="shared" si="13"/>
        <v>22971.30211</v>
      </c>
      <c r="T63" s="4">
        <f t="array" ref="T63">XLOOKUP(A63, 'Transposed Data'!A:A, 'Transposed Data'!AL:AL, "missing", -1)/12</f>
        <v>13990.66667</v>
      </c>
      <c r="U63" s="4">
        <f t="shared" si="14"/>
        <v>15603.85145</v>
      </c>
      <c r="V63" s="4">
        <f t="shared" si="4"/>
        <v>1613.184781</v>
      </c>
      <c r="W63" s="4">
        <f t="shared" si="15"/>
        <v>30098.37126</v>
      </c>
    </row>
    <row r="64">
      <c r="A64" s="1">
        <v>45689.0</v>
      </c>
      <c r="B64" s="14">
        <f t="array" ref="B64">XLOOKUP(A64, SLCI!A:A, SLCI!B:B, "missing", -1)/3</f>
        <v>0.1333333333</v>
      </c>
      <c r="C64" s="14">
        <f t="array" ref="C64">XLOOKUP(A64, CPI!A:A, CPI!B:B, "missing", -1)/3</f>
        <v>0.06666666667</v>
      </c>
      <c r="D64" s="4">
        <f t="array" ref="D64">XLOOKUP(A64, 'Transposed Data'!A:A, 'Transposed Data'!R:R, "missing", -1)/12</f>
        <v>6683.5</v>
      </c>
      <c r="E64" s="4">
        <f t="shared" si="5"/>
        <v>7464.08918</v>
      </c>
      <c r="F64" s="4">
        <f t="shared" si="6"/>
        <v>780.5891801</v>
      </c>
      <c r="G64" s="4">
        <f t="shared" si="7"/>
        <v>15160.51658</v>
      </c>
      <c r="H64" s="4">
        <f t="array" ref="H64">XLOOKUP(A64, 'Transposed Data'!A:A, 'Transposed Data'!V:V, "missing", -1)/12</f>
        <v>7513.166667</v>
      </c>
      <c r="I64" s="4">
        <f t="shared" si="8"/>
        <v>8390.617842</v>
      </c>
      <c r="J64" s="4">
        <f t="shared" si="1"/>
        <v>877.4511757</v>
      </c>
      <c r="K64" s="4">
        <f t="shared" si="9"/>
        <v>17041.14003</v>
      </c>
      <c r="L64" s="4">
        <f t="array" ref="L64">XLOOKUP(A64, 'Transposed Data'!A:A, 'Transposed Data'!AA:AA, "missing", -1)/12</f>
        <v>9084.416667</v>
      </c>
      <c r="M64" s="4">
        <f t="shared" si="10"/>
        <v>10145.45255</v>
      </c>
      <c r="N64" s="4">
        <f t="shared" si="2"/>
        <v>1061.035882</v>
      </c>
      <c r="O64" s="4">
        <f t="shared" si="11"/>
        <v>20607.71827</v>
      </c>
      <c r="P64" s="4">
        <f t="array" ref="P64">XLOOKUP(A64, 'Transposed Data'!A:A, 'Transposed Data'!AF:AF, "missing", -1)/12</f>
        <v>10679.08333</v>
      </c>
      <c r="Q64" s="4">
        <f t="shared" si="12"/>
        <v>11926.2172</v>
      </c>
      <c r="R64" s="4">
        <f t="shared" si="3"/>
        <v>1247.133864</v>
      </c>
      <c r="S64" s="4">
        <f t="shared" si="13"/>
        <v>24218.43598</v>
      </c>
      <c r="T64" s="4">
        <f t="array" ref="T64">XLOOKUP(A64, 'Transposed Data'!A:A, 'Transposed Data'!AL:AL, "missing", -1)/12</f>
        <v>13990.66667</v>
      </c>
      <c r="U64" s="4">
        <f t="shared" si="14"/>
        <v>15624.65658</v>
      </c>
      <c r="V64" s="4">
        <f t="shared" si="4"/>
        <v>1633.989917</v>
      </c>
      <c r="W64" s="4">
        <f t="shared" si="15"/>
        <v>31732.36117</v>
      </c>
    </row>
    <row r="65">
      <c r="A65" s="1">
        <v>45717.0</v>
      </c>
      <c r="B65" s="14">
        <f t="array" ref="B65">XLOOKUP(A65, SLCI!A:A, SLCI!B:B, "missing", -1)/3</f>
        <v>0.3666666667</v>
      </c>
      <c r="C65" s="14">
        <f t="array" ref="C65">XLOOKUP(A65, CPI!A:A, CPI!B:B, "missing", -1)/3</f>
        <v>0.3</v>
      </c>
      <c r="D65" s="4">
        <f t="array" ref="D65">XLOOKUP(A65, 'Transposed Data'!A:A, 'Transposed Data'!R:R, "missing", -1)/12</f>
        <v>6683.5</v>
      </c>
      <c r="E65" s="4">
        <f t="shared" si="5"/>
        <v>7491.457507</v>
      </c>
      <c r="F65" s="4">
        <f t="shared" si="6"/>
        <v>807.9575071</v>
      </c>
      <c r="G65" s="4">
        <f t="shared" si="7"/>
        <v>15968.47409</v>
      </c>
      <c r="H65" s="4">
        <f t="array" ref="H65">XLOOKUP(A65, 'Transposed Data'!A:A, 'Transposed Data'!V:V, "missing", -1)/12</f>
        <v>7513.166667</v>
      </c>
      <c r="I65" s="4">
        <f t="shared" si="8"/>
        <v>8421.383441</v>
      </c>
      <c r="J65" s="4">
        <f t="shared" si="1"/>
        <v>908.2167744</v>
      </c>
      <c r="K65" s="4">
        <f t="shared" si="9"/>
        <v>17949.35681</v>
      </c>
      <c r="L65" s="4">
        <f t="array" ref="L65">XLOOKUP(A65, 'Transposed Data'!A:A, 'Transposed Data'!AA:AA, "missing", -1)/12</f>
        <v>9084.416667</v>
      </c>
      <c r="M65" s="4">
        <f t="shared" si="10"/>
        <v>10182.65254</v>
      </c>
      <c r="N65" s="4">
        <f t="shared" si="2"/>
        <v>1098.235875</v>
      </c>
      <c r="O65" s="4">
        <f t="shared" si="11"/>
        <v>21705.95414</v>
      </c>
      <c r="P65" s="4">
        <f t="array" ref="P65">XLOOKUP(A65, 'Transposed Data'!A:A, 'Transposed Data'!AF:AF, "missing", -1)/12</f>
        <v>10679.08333</v>
      </c>
      <c r="Q65" s="4">
        <f t="shared" si="12"/>
        <v>11969.94666</v>
      </c>
      <c r="R65" s="4">
        <f t="shared" si="3"/>
        <v>1290.863327</v>
      </c>
      <c r="S65" s="4">
        <f t="shared" si="13"/>
        <v>25509.29931</v>
      </c>
      <c r="T65" s="4">
        <f t="array" ref="T65">XLOOKUP(A65, 'Transposed Data'!A:A, 'Transposed Data'!AL:AL, "missing", -1)/12</f>
        <v>13990.66667</v>
      </c>
      <c r="U65" s="4">
        <f t="shared" si="14"/>
        <v>15681.94699</v>
      </c>
      <c r="V65" s="4">
        <f t="shared" si="4"/>
        <v>1691.280324</v>
      </c>
      <c r="W65" s="4">
        <f t="shared" si="15"/>
        <v>33423.6415</v>
      </c>
    </row>
    <row r="66">
      <c r="A66" s="1">
        <v>45748.0</v>
      </c>
      <c r="B66" s="14">
        <f t="array" ref="B66">XLOOKUP(A66, SLCI!A:A, SLCI!B:B, "missing", -1)/3</f>
        <v>0.3666666667</v>
      </c>
      <c r="C66" s="14">
        <f t="array" ref="C66">XLOOKUP(A66, CPI!A:A, CPI!B:B, "missing", -1)/3</f>
        <v>0.3</v>
      </c>
      <c r="D66" s="4">
        <f t="array" ref="D66">XLOOKUP(A66, 'Transposed Data'!A:A, 'Transposed Data'!R:R, "missing", -1)/12</f>
        <v>6937.5</v>
      </c>
      <c r="E66" s="4">
        <f t="shared" si="5"/>
        <v>7518.926185</v>
      </c>
      <c r="F66" s="4">
        <f t="shared" si="6"/>
        <v>581.4261847</v>
      </c>
      <c r="G66" s="4">
        <f t="shared" si="7"/>
        <v>16549.90027</v>
      </c>
      <c r="H66" s="4">
        <f t="array" ref="H66">XLOOKUP(A66, 'Transposed Data'!A:A, 'Transposed Data'!V:V, "missing", -1)/12</f>
        <v>7798.666667</v>
      </c>
      <c r="I66" s="4">
        <f t="shared" si="8"/>
        <v>8452.261847</v>
      </c>
      <c r="J66" s="4">
        <f t="shared" si="1"/>
        <v>653.5951804</v>
      </c>
      <c r="K66" s="4">
        <f t="shared" si="9"/>
        <v>18602.95199</v>
      </c>
      <c r="L66" s="4">
        <f t="array" ref="L66">XLOOKUP(A66, 'Transposed Data'!A:A, 'Transposed Data'!AA:AA, "missing", -1)/12</f>
        <v>9429.583333</v>
      </c>
      <c r="M66" s="4">
        <f t="shared" si="10"/>
        <v>10219.98893</v>
      </c>
      <c r="N66" s="4">
        <f t="shared" si="2"/>
        <v>790.4056011</v>
      </c>
      <c r="O66" s="4">
        <f t="shared" si="11"/>
        <v>22496.35974</v>
      </c>
      <c r="P66" s="4">
        <f t="array" ref="P66">XLOOKUP(A66, 'Transposed Data'!A:A, 'Transposed Data'!AF:AF, "missing", -1)/12</f>
        <v>11084.91667</v>
      </c>
      <c r="Q66" s="4">
        <f t="shared" si="12"/>
        <v>12013.83646</v>
      </c>
      <c r="R66" s="4">
        <f t="shared" si="3"/>
        <v>928.919798</v>
      </c>
      <c r="S66" s="4">
        <f t="shared" si="13"/>
        <v>26438.2191</v>
      </c>
      <c r="T66" s="4">
        <f t="array" ref="T66">XLOOKUP(A66, 'Transposed Data'!A:A, 'Transposed Data'!AL:AL, "missing", -1)/12</f>
        <v>14522.33333</v>
      </c>
      <c r="U66" s="4">
        <f t="shared" si="14"/>
        <v>15739.44746</v>
      </c>
      <c r="V66" s="4">
        <f t="shared" si="4"/>
        <v>1217.11413</v>
      </c>
      <c r="W66" s="4">
        <f t="shared" si="15"/>
        <v>34640.75563</v>
      </c>
    </row>
    <row r="67">
      <c r="A67" s="1">
        <v>45778.0</v>
      </c>
      <c r="B67" s="14">
        <f t="array" ref="B67">XLOOKUP(A67, SLCI!A:A, SLCI!B:B, "missing", -1)/3</f>
        <v>0.3666666667</v>
      </c>
      <c r="C67" s="14">
        <f t="array" ref="C67">XLOOKUP(A67, CPI!A:A, CPI!B:B, "missing", -1)/3</f>
        <v>0.3</v>
      </c>
      <c r="D67" s="4">
        <f t="array" ref="D67">XLOOKUP(A67, 'Transposed Data'!A:A, 'Transposed Data'!R:R, "missing", -1)/12</f>
        <v>6937.5</v>
      </c>
      <c r="E67" s="4">
        <f t="shared" si="5"/>
        <v>7546.495581</v>
      </c>
      <c r="F67" s="4">
        <f t="shared" si="6"/>
        <v>608.9955807</v>
      </c>
      <c r="G67" s="4">
        <f t="shared" si="7"/>
        <v>17158.89585</v>
      </c>
      <c r="H67" s="4">
        <f t="array" ref="H67">XLOOKUP(A67, 'Transposed Data'!A:A, 'Transposed Data'!V:V, "missing", -1)/12</f>
        <v>7798.666667</v>
      </c>
      <c r="I67" s="4">
        <f t="shared" si="8"/>
        <v>8483.253474</v>
      </c>
      <c r="J67" s="4">
        <f t="shared" si="1"/>
        <v>684.5868071</v>
      </c>
      <c r="K67" s="4">
        <f t="shared" si="9"/>
        <v>19287.53879</v>
      </c>
      <c r="L67" s="4">
        <f t="array" ref="L67">XLOOKUP(A67, 'Transposed Data'!A:A, 'Transposed Data'!AA:AA, "missing", -1)/12</f>
        <v>9429.583333</v>
      </c>
      <c r="M67" s="4">
        <f t="shared" si="10"/>
        <v>10257.46223</v>
      </c>
      <c r="N67" s="4">
        <f t="shared" si="2"/>
        <v>827.8788939</v>
      </c>
      <c r="O67" s="4">
        <f t="shared" si="11"/>
        <v>23324.23864</v>
      </c>
      <c r="P67" s="4">
        <f t="array" ref="P67">XLOOKUP(A67, 'Transposed Data'!A:A, 'Transposed Data'!AF:AF, "missing", -1)/12</f>
        <v>11084.91667</v>
      </c>
      <c r="Q67" s="4">
        <f t="shared" si="12"/>
        <v>12057.8872</v>
      </c>
      <c r="R67" s="4">
        <f t="shared" si="3"/>
        <v>972.9705317</v>
      </c>
      <c r="S67" s="4">
        <f t="shared" si="13"/>
        <v>27411.18963</v>
      </c>
      <c r="T67" s="4">
        <f t="array" ref="T67">XLOOKUP(A67, 'Transposed Data'!A:A, 'Transposed Data'!AL:AL, "missing", -1)/12</f>
        <v>14522.33333</v>
      </c>
      <c r="U67" s="4">
        <f t="shared" si="14"/>
        <v>15797.15877</v>
      </c>
      <c r="V67" s="4">
        <f t="shared" si="4"/>
        <v>1274.825437</v>
      </c>
      <c r="W67" s="4">
        <f t="shared" si="15"/>
        <v>35915.58106</v>
      </c>
    </row>
    <row r="68">
      <c r="A68" s="1">
        <v>45809.0</v>
      </c>
      <c r="B68" s="14">
        <f t="array" ref="B68">XLOOKUP(A68, SLCI!A:A, SLCI!B:B, "missing", -1)/3</f>
        <v>0.1333333333</v>
      </c>
      <c r="C68" s="14">
        <f t="array" ref="C68">XLOOKUP(A68, CPI!A:A, CPI!B:B, "missing", -1)/3</f>
        <v>0.2333333333</v>
      </c>
      <c r="D68" s="4">
        <f t="array" ref="D68">XLOOKUP(A68, 'Transposed Data'!A:A, 'Transposed Data'!R:R, "missing", -1)/12</f>
        <v>6937.5</v>
      </c>
      <c r="E68" s="4">
        <f t="shared" si="5"/>
        <v>7556.557575</v>
      </c>
      <c r="F68" s="4">
        <f t="shared" si="6"/>
        <v>619.0575748</v>
      </c>
      <c r="G68" s="4">
        <f t="shared" si="7"/>
        <v>17777.95343</v>
      </c>
      <c r="H68" s="4">
        <f t="array" ref="H68">XLOOKUP(A68, 'Transposed Data'!A:A, 'Transposed Data'!V:V, "missing", -1)/12</f>
        <v>7798.666667</v>
      </c>
      <c r="I68" s="4">
        <f t="shared" si="8"/>
        <v>8494.564478</v>
      </c>
      <c r="J68" s="4">
        <f t="shared" si="1"/>
        <v>695.8978118</v>
      </c>
      <c r="K68" s="4">
        <f t="shared" si="9"/>
        <v>19983.43661</v>
      </c>
      <c r="L68" s="4">
        <f t="array" ref="L68">XLOOKUP(A68, 'Transposed Data'!A:A, 'Transposed Data'!AA:AA, "missing", -1)/12</f>
        <v>9429.583333</v>
      </c>
      <c r="M68" s="4">
        <f t="shared" si="10"/>
        <v>10271.13884</v>
      </c>
      <c r="N68" s="4">
        <f t="shared" si="2"/>
        <v>841.5555102</v>
      </c>
      <c r="O68" s="4">
        <f t="shared" si="11"/>
        <v>24165.79415</v>
      </c>
      <c r="P68" s="4">
        <f t="array" ref="P68">XLOOKUP(A68, 'Transposed Data'!A:A, 'Transposed Data'!AF:AF, "missing", -1)/12</f>
        <v>11084.91667</v>
      </c>
      <c r="Q68" s="4">
        <f t="shared" si="12"/>
        <v>12073.96438</v>
      </c>
      <c r="R68" s="4">
        <f t="shared" si="3"/>
        <v>989.0477146</v>
      </c>
      <c r="S68" s="4">
        <f t="shared" si="13"/>
        <v>28400.23735</v>
      </c>
      <c r="T68" s="4">
        <f t="array" ref="T68">XLOOKUP(A68, 'Transposed Data'!A:A, 'Transposed Data'!AL:AL, "missing", -1)/12</f>
        <v>14522.33333</v>
      </c>
      <c r="U68" s="4">
        <f t="shared" si="14"/>
        <v>15818.22165</v>
      </c>
      <c r="V68" s="4">
        <f t="shared" si="4"/>
        <v>1295.888316</v>
      </c>
      <c r="W68" s="4">
        <f t="shared" si="15"/>
        <v>37211.46938</v>
      </c>
    </row>
    <row r="69">
      <c r="A69" s="1">
        <v>45839.0</v>
      </c>
      <c r="B69" s="14">
        <f t="array" ref="B69">XLOOKUP(A69, SLCI!A:A, SLCI!B:B, "missing", -1)/3</f>
        <v>0.1333333333</v>
      </c>
      <c r="C69" s="14">
        <f t="array" ref="C69">XLOOKUP(A69, CPI!A:A, CPI!B:B, "missing", -1)/3</f>
        <v>0.2333333333</v>
      </c>
      <c r="D69" s="4">
        <f t="array" ref="D69">XLOOKUP(A69, 'Transposed Data'!A:A, 'Transposed Data'!R:R, "missing", -1)/12</f>
        <v>6937.5</v>
      </c>
      <c r="E69" s="4">
        <f t="shared" si="5"/>
        <v>7566.632985</v>
      </c>
      <c r="F69" s="4">
        <f t="shared" si="6"/>
        <v>629.1329849</v>
      </c>
      <c r="G69" s="4">
        <f t="shared" si="7"/>
        <v>18407.08641</v>
      </c>
      <c r="H69" s="4">
        <f t="array" ref="H69">XLOOKUP(A69, 'Transposed Data'!A:A, 'Transposed Data'!V:V, "missing", -1)/12</f>
        <v>7798.666667</v>
      </c>
      <c r="I69" s="4">
        <f t="shared" si="8"/>
        <v>8505.890564</v>
      </c>
      <c r="J69" s="4">
        <f t="shared" si="1"/>
        <v>707.2238977</v>
      </c>
      <c r="K69" s="4">
        <f t="shared" si="9"/>
        <v>20690.6605</v>
      </c>
      <c r="L69" s="4">
        <f t="array" ref="L69">XLOOKUP(A69, 'Transposed Data'!A:A, 'Transposed Data'!AA:AA, "missing", -1)/12</f>
        <v>9429.583333</v>
      </c>
      <c r="M69" s="4">
        <f t="shared" si="10"/>
        <v>10284.8337</v>
      </c>
      <c r="N69" s="4">
        <f t="shared" si="2"/>
        <v>855.250362</v>
      </c>
      <c r="O69" s="4">
        <f t="shared" si="11"/>
        <v>25021.04451</v>
      </c>
      <c r="P69" s="4">
        <f t="array" ref="P69">XLOOKUP(A69, 'Transposed Data'!A:A, 'Transposed Data'!AF:AF, "missing", -1)/12</f>
        <v>11084.91667</v>
      </c>
      <c r="Q69" s="4">
        <f t="shared" si="12"/>
        <v>12090.063</v>
      </c>
      <c r="R69" s="4">
        <f t="shared" si="3"/>
        <v>1005.146334</v>
      </c>
      <c r="S69" s="4">
        <f t="shared" si="13"/>
        <v>29405.38368</v>
      </c>
      <c r="T69" s="4">
        <f t="array" ref="T69">XLOOKUP(A69, 'Transposed Data'!A:A, 'Transposed Data'!AL:AL, "missing", -1)/12</f>
        <v>14522.33333</v>
      </c>
      <c r="U69" s="4">
        <f t="shared" si="14"/>
        <v>15839.31261</v>
      </c>
      <c r="V69" s="4">
        <f t="shared" si="4"/>
        <v>1316.979278</v>
      </c>
      <c r="W69" s="4">
        <f t="shared" si="15"/>
        <v>38528.44866</v>
      </c>
    </row>
    <row r="70">
      <c r="A70" s="1">
        <v>45870.0</v>
      </c>
      <c r="B70" s="14">
        <f t="array" ref="B70">XLOOKUP(A70, SLCI!A:A, SLCI!B:B, "missing", -1)/3</f>
        <v>0.1333333333</v>
      </c>
      <c r="C70" s="14">
        <f t="array" ref="C70">XLOOKUP(A70, CPI!A:A, CPI!B:B, "missing", -1)/3</f>
        <v>0.2333333333</v>
      </c>
      <c r="D70" s="4">
        <f t="array" ref="D70">XLOOKUP(A70, 'Transposed Data'!A:A, 'Transposed Data'!R:R, "missing", -1)/12</f>
        <v>6937.5</v>
      </c>
      <c r="E70" s="4">
        <f t="shared" si="5"/>
        <v>7576.721829</v>
      </c>
      <c r="F70" s="4">
        <f t="shared" si="6"/>
        <v>639.2218289</v>
      </c>
      <c r="G70" s="4">
        <f t="shared" si="7"/>
        <v>19046.30824</v>
      </c>
      <c r="H70" s="4">
        <f t="array" ref="H70">XLOOKUP(A70, 'Transposed Data'!A:A, 'Transposed Data'!V:V, "missing", -1)/12</f>
        <v>7798.666667</v>
      </c>
      <c r="I70" s="4">
        <f t="shared" si="8"/>
        <v>8517.231752</v>
      </c>
      <c r="J70" s="4">
        <f t="shared" si="1"/>
        <v>718.5650852</v>
      </c>
      <c r="K70" s="4">
        <f t="shared" si="9"/>
        <v>21409.22559</v>
      </c>
      <c r="L70" s="4">
        <f t="array" ref="L70">XLOOKUP(A70, 'Transposed Data'!A:A, 'Transposed Data'!AA:AA, "missing", -1)/12</f>
        <v>9429.583333</v>
      </c>
      <c r="M70" s="4">
        <f t="shared" si="10"/>
        <v>10298.54681</v>
      </c>
      <c r="N70" s="4">
        <f t="shared" si="2"/>
        <v>868.9634736</v>
      </c>
      <c r="O70" s="4">
        <f t="shared" si="11"/>
        <v>25890.00798</v>
      </c>
      <c r="P70" s="4">
        <f t="array" ref="P70">XLOOKUP(A70, 'Transposed Data'!A:A, 'Transposed Data'!AF:AF, "missing", -1)/12</f>
        <v>11084.91667</v>
      </c>
      <c r="Q70" s="4">
        <f t="shared" si="12"/>
        <v>12106.18308</v>
      </c>
      <c r="R70" s="4">
        <f t="shared" si="3"/>
        <v>1021.266418</v>
      </c>
      <c r="S70" s="4">
        <f t="shared" si="13"/>
        <v>30426.6501</v>
      </c>
      <c r="T70" s="4">
        <f t="array" ref="T70">XLOOKUP(A70, 'Transposed Data'!A:A, 'Transposed Data'!AL:AL, "missing", -1)/12</f>
        <v>14522.33333</v>
      </c>
      <c r="U70" s="4">
        <f t="shared" si="14"/>
        <v>15860.43169</v>
      </c>
      <c r="V70" s="4">
        <f t="shared" si="4"/>
        <v>1338.098361</v>
      </c>
      <c r="W70" s="4">
        <f t="shared" si="15"/>
        <v>39866.54702</v>
      </c>
    </row>
    <row r="71">
      <c r="A71" s="1">
        <v>45901.0</v>
      </c>
      <c r="B71" s="14">
        <f t="array" ref="B71">XLOOKUP(A71, SLCI!A:A, SLCI!B:B, "missing", -1)/3</f>
        <v>0.2</v>
      </c>
      <c r="C71" s="14">
        <f t="array" ref="C71">XLOOKUP(A71, CPI!A:A, CPI!B:B, "missing", -1)/3</f>
        <v>0.4333333333</v>
      </c>
      <c r="D71" s="4">
        <f t="array" ref="D71">XLOOKUP(A71, 'Transposed Data'!A:A, 'Transposed Data'!R:R, "missing", -1)/12</f>
        <v>6937.5</v>
      </c>
      <c r="E71" s="4">
        <f t="shared" si="5"/>
        <v>7591.875273</v>
      </c>
      <c r="F71" s="4">
        <f t="shared" si="6"/>
        <v>654.3752725</v>
      </c>
      <c r="G71" s="4">
        <f t="shared" si="7"/>
        <v>19700.68351</v>
      </c>
      <c r="H71" s="4">
        <f t="array" ref="H71">XLOOKUP(A71, 'Transposed Data'!A:A, 'Transposed Data'!V:V, "missing", -1)/12</f>
        <v>7798.666667</v>
      </c>
      <c r="I71" s="4">
        <f t="shared" si="8"/>
        <v>8534.266215</v>
      </c>
      <c r="J71" s="4">
        <f t="shared" si="1"/>
        <v>735.5995487</v>
      </c>
      <c r="K71" s="4">
        <f t="shared" si="9"/>
        <v>22144.82514</v>
      </c>
      <c r="L71" s="4">
        <f t="array" ref="L71">XLOOKUP(A71, 'Transposed Data'!A:A, 'Transposed Data'!AA:AA, "missing", -1)/12</f>
        <v>9429.583333</v>
      </c>
      <c r="M71" s="4">
        <f t="shared" si="10"/>
        <v>10319.1439</v>
      </c>
      <c r="N71" s="4">
        <f t="shared" si="2"/>
        <v>889.5605672</v>
      </c>
      <c r="O71" s="4">
        <f t="shared" si="11"/>
        <v>26779.56855</v>
      </c>
      <c r="P71" s="4">
        <f t="array" ref="P71">XLOOKUP(A71, 'Transposed Data'!A:A, 'Transposed Data'!AF:AF, "missing", -1)/12</f>
        <v>11084.91667</v>
      </c>
      <c r="Q71" s="4">
        <f t="shared" si="12"/>
        <v>12130.39545</v>
      </c>
      <c r="R71" s="4">
        <f t="shared" si="3"/>
        <v>1045.478784</v>
      </c>
      <c r="S71" s="4">
        <f t="shared" si="13"/>
        <v>31472.12889</v>
      </c>
      <c r="T71" s="4">
        <f t="array" ref="T71">XLOOKUP(A71, 'Transposed Data'!A:A, 'Transposed Data'!AL:AL, "missing", -1)/12</f>
        <v>14522.33333</v>
      </c>
      <c r="U71" s="4">
        <f t="shared" si="14"/>
        <v>15892.15256</v>
      </c>
      <c r="V71" s="4">
        <f t="shared" si="4"/>
        <v>1369.819225</v>
      </c>
      <c r="W71" s="4">
        <f t="shared" si="15"/>
        <v>41236.36624</v>
      </c>
    </row>
    <row r="72">
      <c r="A72" s="1">
        <v>45931.0</v>
      </c>
      <c r="B72" s="14">
        <f t="array" ref="B72">XLOOKUP(A72, SLCI!A:A, SLCI!B:B, "missing", -1)/3</f>
        <v>0.2</v>
      </c>
      <c r="C72" s="14">
        <f t="array" ref="C72">XLOOKUP(A72, CPI!A:A, CPI!B:B, "missing", -1)/3</f>
        <v>0.4333333333</v>
      </c>
      <c r="D72" s="4">
        <f t="array" ref="D72">XLOOKUP(A72, 'Transposed Data'!A:A, 'Transposed Data'!R:R, "missing", -1)/12</f>
        <v>6937.5</v>
      </c>
      <c r="E72" s="4">
        <f t="shared" si="5"/>
        <v>7607.059023</v>
      </c>
      <c r="F72" s="4">
        <f t="shared" si="6"/>
        <v>669.5590231</v>
      </c>
      <c r="G72" s="4">
        <f t="shared" si="7"/>
        <v>20370.24254</v>
      </c>
      <c r="H72" s="4">
        <f t="array" ref="H72">XLOOKUP(A72, 'Transposed Data'!A:A, 'Transposed Data'!V:V, "missing", -1)/12</f>
        <v>7798.666667</v>
      </c>
      <c r="I72" s="4">
        <f t="shared" si="8"/>
        <v>8551.334748</v>
      </c>
      <c r="J72" s="4">
        <f t="shared" si="1"/>
        <v>752.6680811</v>
      </c>
      <c r="K72" s="4">
        <f t="shared" si="9"/>
        <v>22897.49322</v>
      </c>
      <c r="L72" s="4">
        <f t="array" ref="L72">XLOOKUP(A72, 'Transposed Data'!A:A, 'Transposed Data'!AA:AA, "missing", -1)/12</f>
        <v>9429.583333</v>
      </c>
      <c r="M72" s="4">
        <f t="shared" si="10"/>
        <v>10339.78219</v>
      </c>
      <c r="N72" s="4">
        <f t="shared" si="2"/>
        <v>910.198855</v>
      </c>
      <c r="O72" s="4">
        <f t="shared" si="11"/>
        <v>27689.7674</v>
      </c>
      <c r="P72" s="4">
        <f t="array" ref="P72">XLOOKUP(A72, 'Transposed Data'!A:A, 'Transposed Data'!AF:AF, "missing", -1)/12</f>
        <v>11084.91667</v>
      </c>
      <c r="Q72" s="4">
        <f t="shared" si="12"/>
        <v>12154.65624</v>
      </c>
      <c r="R72" s="4">
        <f t="shared" si="3"/>
        <v>1069.739575</v>
      </c>
      <c r="S72" s="4">
        <f t="shared" si="13"/>
        <v>32541.86846</v>
      </c>
      <c r="T72" s="4">
        <f t="array" ref="T72">XLOOKUP(A72, 'Transposed Data'!A:A, 'Transposed Data'!AL:AL, "missing", -1)/12</f>
        <v>14522.33333</v>
      </c>
      <c r="U72" s="4">
        <f t="shared" si="14"/>
        <v>15923.93686</v>
      </c>
      <c r="V72" s="4">
        <f t="shared" si="4"/>
        <v>1401.60353</v>
      </c>
      <c r="W72" s="4">
        <f t="shared" si="15"/>
        <v>42637.96977</v>
      </c>
    </row>
    <row r="73">
      <c r="A73" s="1">
        <v>45962.0</v>
      </c>
      <c r="B73" s="14">
        <f t="array" ref="B73">XLOOKUP(A73, SLCI!A:A, SLCI!B:B, "missing", -1)/3</f>
        <v>0.2</v>
      </c>
      <c r="C73" s="14">
        <f t="array" ref="C73">XLOOKUP(A73, CPI!A:A, CPI!B:B, "missing", -1)/3</f>
        <v>0.4333333333</v>
      </c>
      <c r="D73" s="4">
        <f t="array" ref="D73">XLOOKUP(A73, 'Transposed Data'!A:A, 'Transposed Data'!R:R, "missing", -1)/12</f>
        <v>6937.5</v>
      </c>
      <c r="E73" s="4">
        <f t="shared" si="5"/>
        <v>7622.273141</v>
      </c>
      <c r="F73" s="4">
        <f t="shared" si="6"/>
        <v>684.7731411</v>
      </c>
      <c r="G73" s="4">
        <f t="shared" si="7"/>
        <v>21055.01568</v>
      </c>
      <c r="H73" s="4">
        <f t="array" ref="H73">XLOOKUP(A73, 'Transposed Data'!A:A, 'Transposed Data'!V:V, "missing", -1)/12</f>
        <v>7798.666667</v>
      </c>
      <c r="I73" s="4">
        <f t="shared" si="8"/>
        <v>8568.437417</v>
      </c>
      <c r="J73" s="4">
        <f t="shared" si="1"/>
        <v>769.7707506</v>
      </c>
      <c r="K73" s="4">
        <f t="shared" si="9"/>
        <v>23667.26397</v>
      </c>
      <c r="L73" s="4">
        <f t="array" ref="L73">XLOOKUP(A73, 'Transposed Data'!A:A, 'Transposed Data'!AA:AA, "missing", -1)/12</f>
        <v>9429.583333</v>
      </c>
      <c r="M73" s="4">
        <f t="shared" si="10"/>
        <v>10360.46175</v>
      </c>
      <c r="N73" s="4">
        <f t="shared" si="2"/>
        <v>930.8784194</v>
      </c>
      <c r="O73" s="4">
        <f t="shared" si="11"/>
        <v>28620.64582</v>
      </c>
      <c r="P73" s="4">
        <f t="array" ref="P73">XLOOKUP(A73, 'Transposed Data'!A:A, 'Transposed Data'!AF:AF, "missing", -1)/12</f>
        <v>11084.91667</v>
      </c>
      <c r="Q73" s="4">
        <f t="shared" si="12"/>
        <v>12178.96555</v>
      </c>
      <c r="R73" s="4">
        <f t="shared" si="3"/>
        <v>1094.048887</v>
      </c>
      <c r="S73" s="4">
        <f t="shared" si="13"/>
        <v>33635.91735</v>
      </c>
      <c r="T73" s="4">
        <f t="array" ref="T73">XLOOKUP(A73, 'Transposed Data'!A:A, 'Transposed Data'!AL:AL, "missing", -1)/12</f>
        <v>14522.33333</v>
      </c>
      <c r="U73" s="4">
        <f t="shared" si="14"/>
        <v>15955.78474</v>
      </c>
      <c r="V73" s="4">
        <f t="shared" si="4"/>
        <v>1433.451403</v>
      </c>
      <c r="W73" s="4">
        <f t="shared" si="15"/>
        <v>44071.42118</v>
      </c>
    </row>
    <row r="74">
      <c r="A74" s="1">
        <v>45992.0</v>
      </c>
      <c r="B74" s="14">
        <f t="array" ref="B74">XLOOKUP(A74, SLCI!A:A, SLCI!B:B, "missing", -1)/3</f>
        <v>0.2</v>
      </c>
      <c r="C74" s="14">
        <f t="array" ref="C74">XLOOKUP(A74, CPI!A:A, CPI!B:B, "missing", -1)/3</f>
        <v>0.2</v>
      </c>
      <c r="D74" s="4">
        <f t="array" ref="D74">XLOOKUP(A74, 'Transposed Data'!A:A, 'Transposed Data'!R:R, "missing", -1)/12</f>
        <v>6937.5</v>
      </c>
      <c r="E74" s="4">
        <f t="shared" si="5"/>
        <v>7637.517687</v>
      </c>
      <c r="F74" s="4">
        <f t="shared" si="6"/>
        <v>700.0176874</v>
      </c>
      <c r="G74" s="4">
        <f t="shared" si="7"/>
        <v>21755.03336</v>
      </c>
      <c r="H74" s="4">
        <f t="array" ref="H74">XLOOKUP(A74, 'Transposed Data'!A:A, 'Transposed Data'!V:V, "missing", -1)/12</f>
        <v>7798.666667</v>
      </c>
      <c r="I74" s="4">
        <f t="shared" si="8"/>
        <v>8585.574292</v>
      </c>
      <c r="J74" s="4">
        <f t="shared" si="1"/>
        <v>786.9076254</v>
      </c>
      <c r="K74" s="4">
        <f t="shared" si="9"/>
        <v>24454.17159</v>
      </c>
      <c r="L74" s="4">
        <f t="array" ref="L74">XLOOKUP(A74, 'Transposed Data'!A:A, 'Transposed Data'!AA:AA, "missing", -1)/12</f>
        <v>9429.583333</v>
      </c>
      <c r="M74" s="4">
        <f t="shared" si="10"/>
        <v>10381.18268</v>
      </c>
      <c r="N74" s="4">
        <f t="shared" si="2"/>
        <v>951.5993429</v>
      </c>
      <c r="O74" s="4">
        <f t="shared" si="11"/>
        <v>29572.24517</v>
      </c>
      <c r="P74" s="4">
        <f t="array" ref="P74">XLOOKUP(A74, 'Transposed Data'!A:A, 'Transposed Data'!AF:AF, "missing", -1)/12</f>
        <v>11084.91667</v>
      </c>
      <c r="Q74" s="4">
        <f t="shared" si="12"/>
        <v>12203.32349</v>
      </c>
      <c r="R74" s="4">
        <f t="shared" si="3"/>
        <v>1118.406818</v>
      </c>
      <c r="S74" s="4">
        <f t="shared" si="13"/>
        <v>34754.32417</v>
      </c>
      <c r="T74" s="4">
        <f t="array" ref="T74">XLOOKUP(A74, 'Transposed Data'!A:A, 'Transposed Data'!AL:AL, "missing", -1)/12</f>
        <v>14522.33333</v>
      </c>
      <c r="U74" s="4">
        <f t="shared" si="14"/>
        <v>15987.69631</v>
      </c>
      <c r="V74" s="4">
        <f t="shared" si="4"/>
        <v>1465.362973</v>
      </c>
      <c r="W74" s="4">
        <f t="shared" si="15"/>
        <v>45536.78415</v>
      </c>
    </row>
    <row r="75">
      <c r="A75" s="1">
        <v>46023.0</v>
      </c>
      <c r="B75" s="14">
        <f t="array" ref="B75">XLOOKUP(A75, SLCI!A:A, SLCI!B:B, "missing", -1)/3</f>
        <v>0.2</v>
      </c>
      <c r="C75" s="14">
        <f t="array" ref="C75">XLOOKUP(A75, CPI!A:A, CPI!B:B, "missing", -1)/3</f>
        <v>0.2</v>
      </c>
      <c r="D75" s="4">
        <f t="array" ref="D75">XLOOKUP(A75, 'Transposed Data'!A:A, 'Transposed Data'!R:R, "missing", -1)/12</f>
        <v>6937.5</v>
      </c>
      <c r="E75" s="4">
        <f t="shared" si="5"/>
        <v>7652.792723</v>
      </c>
      <c r="F75" s="4">
        <f t="shared" si="6"/>
        <v>715.2927228</v>
      </c>
      <c r="G75" s="4">
        <f t="shared" si="7"/>
        <v>22470.32609</v>
      </c>
      <c r="H75" s="4">
        <f t="array" ref="H75">XLOOKUP(A75, 'Transposed Data'!A:A, 'Transposed Data'!V:V, "missing", -1)/12</f>
        <v>7798.666667</v>
      </c>
      <c r="I75" s="4">
        <f t="shared" si="8"/>
        <v>8602.745441</v>
      </c>
      <c r="J75" s="4">
        <f t="shared" si="1"/>
        <v>804.078774</v>
      </c>
      <c r="K75" s="4">
        <f t="shared" si="9"/>
        <v>25258.25037</v>
      </c>
      <c r="L75" s="4">
        <f t="array" ref="L75">XLOOKUP(A75, 'Transposed Data'!A:A, 'Transposed Data'!AA:AA, "missing", -1)/12</f>
        <v>9429.583333</v>
      </c>
      <c r="M75" s="4">
        <f t="shared" si="10"/>
        <v>10401.94504</v>
      </c>
      <c r="N75" s="4">
        <f t="shared" si="2"/>
        <v>972.3617082</v>
      </c>
      <c r="O75" s="4">
        <f t="shared" si="11"/>
        <v>30544.60688</v>
      </c>
      <c r="P75" s="4">
        <f t="array" ref="P75">XLOOKUP(A75, 'Transposed Data'!A:A, 'Transposed Data'!AF:AF, "missing", -1)/12</f>
        <v>11084.91667</v>
      </c>
      <c r="Q75" s="4">
        <f t="shared" si="12"/>
        <v>12227.73013</v>
      </c>
      <c r="R75" s="4">
        <f t="shared" si="3"/>
        <v>1142.813465</v>
      </c>
      <c r="S75" s="4">
        <f t="shared" si="13"/>
        <v>35897.13763</v>
      </c>
      <c r="T75" s="4">
        <f t="array" ref="T75">XLOOKUP(A75, 'Transposed Data'!A:A, 'Transposed Data'!AL:AL, "missing", -1)/12</f>
        <v>14522.33333</v>
      </c>
      <c r="U75" s="4">
        <f t="shared" si="14"/>
        <v>16019.6717</v>
      </c>
      <c r="V75" s="4">
        <f t="shared" si="4"/>
        <v>1497.338366</v>
      </c>
      <c r="W75" s="4">
        <f t="shared" si="15"/>
        <v>47034.12251</v>
      </c>
    </row>
    <row r="76">
      <c r="A76" s="1">
        <v>46054.0</v>
      </c>
      <c r="B76" s="14">
        <f t="array" ref="B76">XLOOKUP(A76, SLCI!A:A, SLCI!B:B, "missing", -1)/3</f>
        <v>0.2</v>
      </c>
      <c r="C76" s="14">
        <f t="array" ref="C76">XLOOKUP(A76, CPI!A:A, CPI!B:B, "missing", -1)/3</f>
        <v>0.2</v>
      </c>
      <c r="D76" s="4">
        <f t="array" ref="D76">XLOOKUP(A76, 'Transposed Data'!A:A, 'Transposed Data'!R:R, "missing", -1)/12</f>
        <v>6937.5</v>
      </c>
      <c r="E76" s="4">
        <f t="shared" si="5"/>
        <v>7668.098308</v>
      </c>
      <c r="F76" s="4">
        <f t="shared" si="6"/>
        <v>730.5983082</v>
      </c>
      <c r="G76" s="4">
        <f t="shared" si="7"/>
        <v>23200.92439</v>
      </c>
      <c r="H76" s="4">
        <f t="array" ref="H76">XLOOKUP(A76, 'Transposed Data'!A:A, 'Transposed Data'!V:V, "missing", -1)/12</f>
        <v>7798.666667</v>
      </c>
      <c r="I76" s="4">
        <f t="shared" si="8"/>
        <v>8619.950932</v>
      </c>
      <c r="J76" s="4">
        <f t="shared" si="1"/>
        <v>821.2842649</v>
      </c>
      <c r="K76" s="4">
        <f t="shared" si="9"/>
        <v>26079.53463</v>
      </c>
      <c r="L76" s="4">
        <f t="array" ref="L76">XLOOKUP(A76, 'Transposed Data'!A:A, 'Transposed Data'!AA:AA, "missing", -1)/12</f>
        <v>9429.583333</v>
      </c>
      <c r="M76" s="4">
        <f t="shared" si="10"/>
        <v>10422.74893</v>
      </c>
      <c r="N76" s="4">
        <f t="shared" si="2"/>
        <v>993.1655983</v>
      </c>
      <c r="O76" s="4">
        <f t="shared" si="11"/>
        <v>31537.77247</v>
      </c>
      <c r="P76" s="4">
        <f t="array" ref="P76">XLOOKUP(A76, 'Transposed Data'!A:A, 'Transposed Data'!AF:AF, "missing", -1)/12</f>
        <v>11084.91667</v>
      </c>
      <c r="Q76" s="4">
        <f t="shared" si="12"/>
        <v>12252.18559</v>
      </c>
      <c r="R76" s="4">
        <f t="shared" si="3"/>
        <v>1167.268926</v>
      </c>
      <c r="S76" s="4">
        <f t="shared" si="13"/>
        <v>37064.40656</v>
      </c>
      <c r="T76" s="4">
        <f t="array" ref="T76">XLOOKUP(A76, 'Transposed Data'!A:A, 'Transposed Data'!AL:AL, "missing", -1)/12</f>
        <v>14522.33333</v>
      </c>
      <c r="U76" s="4">
        <f t="shared" si="14"/>
        <v>16051.71104</v>
      </c>
      <c r="V76" s="4">
        <f t="shared" si="4"/>
        <v>1529.377709</v>
      </c>
      <c r="W76" s="4">
        <f t="shared" si="15"/>
        <v>48563.50022</v>
      </c>
    </row>
    <row r="77">
      <c r="A77" s="1">
        <v>46082.0</v>
      </c>
      <c r="B77" s="14">
        <f t="array" ref="B77">XLOOKUP(A77, SLCI!A:A, SLCI!B:B, "missing", -1)/3</f>
        <v>0.2</v>
      </c>
      <c r="C77" s="14">
        <f t="array" ref="C77">XLOOKUP(A77, CPI!A:A, CPI!B:B, "missing", -1)/3</f>
        <v>0.2</v>
      </c>
      <c r="D77" s="4">
        <f t="array" ref="D77">XLOOKUP(A77, 'Transposed Data'!A:A, 'Transposed Data'!R:R, "missing", -1)/12</f>
        <v>6937.5</v>
      </c>
      <c r="E77" s="4">
        <f t="shared" si="5"/>
        <v>7683.434505</v>
      </c>
      <c r="F77" s="4">
        <f t="shared" si="6"/>
        <v>745.9345048</v>
      </c>
      <c r="G77" s="4">
        <f t="shared" si="7"/>
        <v>23946.8589</v>
      </c>
      <c r="H77" s="4">
        <f t="array" ref="H77">XLOOKUP(A77, 'Transposed Data'!A:A, 'Transposed Data'!V:V, "missing", -1)/12</f>
        <v>7798.666667</v>
      </c>
      <c r="I77" s="4">
        <f t="shared" si="8"/>
        <v>8637.190833</v>
      </c>
      <c r="J77" s="4">
        <f t="shared" si="1"/>
        <v>838.5241668</v>
      </c>
      <c r="K77" s="4">
        <f t="shared" si="9"/>
        <v>26918.0588</v>
      </c>
      <c r="L77" s="4">
        <f t="array" ref="L77">XLOOKUP(A77, 'Transposed Data'!A:A, 'Transposed Data'!AA:AA, "missing", -1)/12</f>
        <v>9429.583333</v>
      </c>
      <c r="M77" s="4">
        <f t="shared" si="10"/>
        <v>10443.59443</v>
      </c>
      <c r="N77" s="4">
        <f t="shared" si="2"/>
        <v>1014.011096</v>
      </c>
      <c r="O77" s="4">
        <f t="shared" si="11"/>
        <v>32551.78357</v>
      </c>
      <c r="P77" s="4">
        <f t="array" ref="P77">XLOOKUP(A77, 'Transposed Data'!A:A, 'Transposed Data'!AF:AF, "missing", -1)/12</f>
        <v>11084.91667</v>
      </c>
      <c r="Q77" s="4">
        <f t="shared" si="12"/>
        <v>12276.68996</v>
      </c>
      <c r="R77" s="4">
        <f t="shared" si="3"/>
        <v>1191.773297</v>
      </c>
      <c r="S77" s="4">
        <f t="shared" si="13"/>
        <v>38256.17985</v>
      </c>
      <c r="T77" s="4">
        <f t="array" ref="T77">XLOOKUP(A77, 'Transposed Data'!A:A, 'Transposed Data'!AL:AL, "missing", -1)/12</f>
        <v>14522.33333</v>
      </c>
      <c r="U77" s="4">
        <f t="shared" si="14"/>
        <v>16083.81446</v>
      </c>
      <c r="V77" s="4">
        <f t="shared" si="4"/>
        <v>1561.481131</v>
      </c>
      <c r="W77" s="4">
        <f t="shared" si="15"/>
        <v>50124.98135</v>
      </c>
    </row>
    <row r="78">
      <c r="A78" s="1">
        <v>46113.0</v>
      </c>
      <c r="B78" s="14">
        <f t="array" ref="B78">XLOOKUP(A78, SLCI!A:A, SLCI!B:B, "missing", -1)/3</f>
        <v>0.2</v>
      </c>
      <c r="C78" s="14">
        <f t="array" ref="C78">XLOOKUP(A78, CPI!A:A, CPI!B:B, "missing", -1)/3</f>
        <v>0.2</v>
      </c>
      <c r="D78" s="4">
        <f t="array" ref="D78">XLOOKUP(A78, 'Transposed Data'!A:A, 'Transposed Data'!R:R, "missing", -1)/12</f>
        <v>7187.166667</v>
      </c>
      <c r="E78" s="4">
        <f t="shared" si="5"/>
        <v>7698.801374</v>
      </c>
      <c r="F78" s="4">
        <f t="shared" si="6"/>
        <v>511.6347072</v>
      </c>
      <c r="G78" s="4">
        <f t="shared" si="7"/>
        <v>24458.49361</v>
      </c>
      <c r="H78" s="4">
        <f t="array" ref="H78">XLOOKUP(A78, 'Transposed Data'!A:A, 'Transposed Data'!V:V, "missing", -1)/12</f>
        <v>8069.083333</v>
      </c>
      <c r="I78" s="4">
        <f t="shared" si="8"/>
        <v>8654.465215</v>
      </c>
      <c r="J78" s="4">
        <f t="shared" si="1"/>
        <v>585.3818818</v>
      </c>
      <c r="K78" s="4">
        <f t="shared" si="9"/>
        <v>27503.44068</v>
      </c>
      <c r="L78" s="4">
        <f t="array" ref="L78">XLOOKUP(A78, 'Transposed Data'!A:A, 'Transposed Data'!AA:AA, "missing", -1)/12</f>
        <v>9750.166667</v>
      </c>
      <c r="M78" s="4">
        <f t="shared" si="10"/>
        <v>10464.48162</v>
      </c>
      <c r="N78" s="4">
        <f t="shared" si="2"/>
        <v>714.3149517</v>
      </c>
      <c r="O78" s="4">
        <f t="shared" si="11"/>
        <v>33266.09852</v>
      </c>
      <c r="P78" s="4">
        <f t="array" ref="P78">XLOOKUP(A78, 'Transposed Data'!A:A, 'Transposed Data'!AF:AF, "missing", -1)/12</f>
        <v>11461.83333</v>
      </c>
      <c r="Q78" s="4">
        <f t="shared" si="12"/>
        <v>12301.24334</v>
      </c>
      <c r="R78" s="4">
        <f t="shared" si="3"/>
        <v>839.4100101</v>
      </c>
      <c r="S78" s="4">
        <f t="shared" si="13"/>
        <v>39095.58986</v>
      </c>
      <c r="T78" s="4">
        <f t="array" ref="T78">XLOOKUP(A78, 'Transposed Data'!A:A, 'Transposed Data'!AL:AL, "missing", -1)/12</f>
        <v>15016.08333</v>
      </c>
      <c r="U78" s="4">
        <f t="shared" si="14"/>
        <v>16115.98209</v>
      </c>
      <c r="V78" s="4">
        <f t="shared" si="4"/>
        <v>1099.89876</v>
      </c>
      <c r="W78" s="4">
        <f t="shared" si="15"/>
        <v>51224.88011</v>
      </c>
    </row>
    <row r="79">
      <c r="A79" s="1">
        <v>46143.0</v>
      </c>
      <c r="B79" s="14">
        <f t="array" ref="B79">XLOOKUP(A79, SLCI!A:A, SLCI!B:B, "missing", -1)/3</f>
        <v>0.2</v>
      </c>
      <c r="C79" s="14">
        <f t="array" ref="C79">XLOOKUP(A79, CPI!A:A, CPI!B:B, "missing", -1)/3</f>
        <v>0.2</v>
      </c>
      <c r="D79" s="4">
        <f t="array" ref="D79">XLOOKUP(A79, 'Transposed Data'!A:A, 'Transposed Data'!R:R, "missing", -1)/12</f>
        <v>7187.166667</v>
      </c>
      <c r="E79" s="4">
        <f t="shared" si="5"/>
        <v>7714.198977</v>
      </c>
      <c r="F79" s="4">
        <f t="shared" si="6"/>
        <v>527.0323099</v>
      </c>
      <c r="G79" s="4">
        <f t="shared" si="7"/>
        <v>24985.52592</v>
      </c>
      <c r="H79" s="4">
        <f t="array" ref="H79">XLOOKUP(A79, 'Transposed Data'!A:A, 'Transposed Data'!V:V, "missing", -1)/12</f>
        <v>8069.083333</v>
      </c>
      <c r="I79" s="4">
        <f t="shared" si="8"/>
        <v>8671.774146</v>
      </c>
      <c r="J79" s="4">
        <f t="shared" si="1"/>
        <v>602.6908122</v>
      </c>
      <c r="K79" s="4">
        <f t="shared" si="9"/>
        <v>28106.13149</v>
      </c>
      <c r="L79" s="4">
        <f t="array" ref="L79">XLOOKUP(A79, 'Transposed Data'!A:A, 'Transposed Data'!AA:AA, "missing", -1)/12</f>
        <v>9750.166667</v>
      </c>
      <c r="M79" s="4">
        <f t="shared" si="10"/>
        <v>10485.41058</v>
      </c>
      <c r="N79" s="4">
        <f t="shared" si="2"/>
        <v>735.2439149</v>
      </c>
      <c r="O79" s="4">
        <f t="shared" si="11"/>
        <v>34001.34244</v>
      </c>
      <c r="P79" s="4">
        <f t="array" ref="P79">XLOOKUP(A79, 'Transposed Data'!A:A, 'Transposed Data'!AF:AF, "missing", -1)/12</f>
        <v>11461.83333</v>
      </c>
      <c r="Q79" s="4">
        <f t="shared" si="12"/>
        <v>12325.84583</v>
      </c>
      <c r="R79" s="4">
        <f t="shared" si="3"/>
        <v>864.0124968</v>
      </c>
      <c r="S79" s="4">
        <f t="shared" si="13"/>
        <v>39959.60236</v>
      </c>
      <c r="T79" s="4">
        <f t="array" ref="T79">XLOOKUP(A79, 'Transposed Data'!A:A, 'Transposed Data'!AL:AL, "missing", -1)/12</f>
        <v>15016.08333</v>
      </c>
      <c r="U79" s="4">
        <f t="shared" si="14"/>
        <v>16148.21406</v>
      </c>
      <c r="V79" s="4">
        <f t="shared" si="4"/>
        <v>1132.130724</v>
      </c>
      <c r="W79" s="4">
        <f t="shared" si="15"/>
        <v>52357.01084</v>
      </c>
    </row>
    <row r="80">
      <c r="A80" s="1">
        <v>46174.0</v>
      </c>
      <c r="B80" s="14">
        <f t="array" ref="B80">XLOOKUP(A80, SLCI!A:A, SLCI!B:B, "missing", -1)/3</f>
        <v>0.2</v>
      </c>
      <c r="C80" s="14">
        <f t="array" ref="C80">XLOOKUP(A80, CPI!A:A, CPI!B:B, "missing", -1)/3</f>
        <v>0.2</v>
      </c>
      <c r="D80" s="4">
        <f t="array" ref="D80">XLOOKUP(A80, 'Transposed Data'!A:A, 'Transposed Data'!R:R, "missing", -1)/12</f>
        <v>7187.166667</v>
      </c>
      <c r="E80" s="4">
        <f t="shared" si="5"/>
        <v>7729.627375</v>
      </c>
      <c r="F80" s="4">
        <f t="shared" si="6"/>
        <v>542.4607079</v>
      </c>
      <c r="G80" s="4">
        <f t="shared" si="7"/>
        <v>25527.98662</v>
      </c>
      <c r="H80" s="4">
        <f t="array" ref="H80">XLOOKUP(A80, 'Transposed Data'!A:A, 'Transposed Data'!V:V, "missing", -1)/12</f>
        <v>8069.083333</v>
      </c>
      <c r="I80" s="4">
        <f t="shared" si="8"/>
        <v>8689.117694</v>
      </c>
      <c r="J80" s="4">
        <f t="shared" si="1"/>
        <v>620.0343605</v>
      </c>
      <c r="K80" s="4">
        <f t="shared" si="9"/>
        <v>28726.16585</v>
      </c>
      <c r="L80" s="4">
        <f t="array" ref="L80">XLOOKUP(A80, 'Transposed Data'!A:A, 'Transposed Data'!AA:AA, "missing", -1)/12</f>
        <v>9750.166667</v>
      </c>
      <c r="M80" s="4">
        <f t="shared" si="10"/>
        <v>10506.3814</v>
      </c>
      <c r="N80" s="4">
        <f t="shared" si="2"/>
        <v>756.2147361</v>
      </c>
      <c r="O80" s="4">
        <f t="shared" si="11"/>
        <v>34757.55717</v>
      </c>
      <c r="P80" s="4">
        <f t="array" ref="P80">XLOOKUP(A80, 'Transposed Data'!A:A, 'Transposed Data'!AF:AF, "missing", -1)/12</f>
        <v>11461.83333</v>
      </c>
      <c r="Q80" s="4">
        <f t="shared" si="12"/>
        <v>12350.49752</v>
      </c>
      <c r="R80" s="4">
        <f t="shared" si="3"/>
        <v>888.6641885</v>
      </c>
      <c r="S80" s="4">
        <f t="shared" si="13"/>
        <v>40848.26655</v>
      </c>
      <c r="T80" s="4">
        <f t="array" ref="T80">XLOOKUP(A80, 'Transposed Data'!A:A, 'Transposed Data'!AL:AL, "missing", -1)/12</f>
        <v>15016.08333</v>
      </c>
      <c r="U80" s="4">
        <f t="shared" si="14"/>
        <v>16180.51049</v>
      </c>
      <c r="V80" s="4">
        <f t="shared" si="4"/>
        <v>1164.427152</v>
      </c>
      <c r="W80" s="4">
        <f t="shared" si="15"/>
        <v>53521.43799</v>
      </c>
    </row>
    <row r="81">
      <c r="A81" s="1">
        <v>46204.0</v>
      </c>
      <c r="B81" s="14">
        <f t="array" ref="B81">XLOOKUP(A81, SLCI!A:A, SLCI!B:B, "missing", -1)/3</f>
        <v>0.2</v>
      </c>
      <c r="C81" s="14">
        <f t="array" ref="C81">XLOOKUP(A81, CPI!A:A, CPI!B:B, "missing", -1)/3</f>
        <v>0.2</v>
      </c>
      <c r="D81" s="4">
        <f t="array" ref="D81">XLOOKUP(A81, 'Transposed Data'!A:A, 'Transposed Data'!R:R, "missing", -1)/12</f>
        <v>7187.166667</v>
      </c>
      <c r="E81" s="4">
        <f t="shared" si="5"/>
        <v>7745.086629</v>
      </c>
      <c r="F81" s="4">
        <f t="shared" si="6"/>
        <v>557.9199626</v>
      </c>
      <c r="G81" s="4">
        <f t="shared" si="7"/>
        <v>26085.90659</v>
      </c>
      <c r="H81" s="4">
        <f t="array" ref="H81">XLOOKUP(A81, 'Transposed Data'!A:A, 'Transposed Data'!V:V, "missing", -1)/12</f>
        <v>8069.083333</v>
      </c>
      <c r="I81" s="4">
        <f t="shared" si="8"/>
        <v>8706.495929</v>
      </c>
      <c r="J81" s="4">
        <f t="shared" si="1"/>
        <v>637.4125959</v>
      </c>
      <c r="K81" s="4">
        <f t="shared" si="9"/>
        <v>29363.57845</v>
      </c>
      <c r="L81" s="4">
        <f t="array" ref="L81">XLOOKUP(A81, 'Transposed Data'!A:A, 'Transposed Data'!AA:AA, "missing", -1)/12</f>
        <v>9750.166667</v>
      </c>
      <c r="M81" s="4">
        <f t="shared" si="10"/>
        <v>10527.39417</v>
      </c>
      <c r="N81" s="4">
        <f t="shared" si="2"/>
        <v>777.2274989</v>
      </c>
      <c r="O81" s="4">
        <f t="shared" si="11"/>
        <v>35534.78467</v>
      </c>
      <c r="P81" s="4">
        <f t="array" ref="P81">XLOOKUP(A81, 'Transposed Data'!A:A, 'Transposed Data'!AF:AF, "missing", -1)/12</f>
        <v>11461.83333</v>
      </c>
      <c r="Q81" s="4">
        <f t="shared" si="12"/>
        <v>12375.19852</v>
      </c>
      <c r="R81" s="4">
        <f t="shared" si="3"/>
        <v>913.3651835</v>
      </c>
      <c r="S81" s="4">
        <f t="shared" si="13"/>
        <v>41761.63173</v>
      </c>
      <c r="T81" s="4">
        <f t="array" ref="T81">XLOOKUP(A81, 'Transposed Data'!A:A, 'Transposed Data'!AL:AL, "missing", -1)/12</f>
        <v>15016.08333</v>
      </c>
      <c r="U81" s="4">
        <f t="shared" si="14"/>
        <v>16212.87151</v>
      </c>
      <c r="V81" s="4">
        <f t="shared" si="4"/>
        <v>1196.788173</v>
      </c>
      <c r="W81" s="4">
        <f t="shared" si="15"/>
        <v>54718.22616</v>
      </c>
    </row>
    <row r="82">
      <c r="A82" s="1">
        <v>46235.0</v>
      </c>
      <c r="B82" s="14">
        <f t="array" ref="B82">XLOOKUP(A82, SLCI!A:A, SLCI!B:B, "missing", -1)/3</f>
        <v>0.2</v>
      </c>
      <c r="C82" s="14">
        <f t="array" ref="C82">XLOOKUP(A82, CPI!A:A, CPI!B:B, "missing", -1)/3</f>
        <v>0.2</v>
      </c>
      <c r="D82" s="4">
        <f t="array" ref="D82">XLOOKUP(A82, 'Transposed Data'!A:A, 'Transposed Data'!R:R, "missing", -1)/12</f>
        <v>7187.166667</v>
      </c>
      <c r="E82" s="4">
        <f t="shared" si="5"/>
        <v>7760.576803</v>
      </c>
      <c r="F82" s="4">
        <f t="shared" si="6"/>
        <v>573.4101359</v>
      </c>
      <c r="G82" s="4">
        <f t="shared" si="7"/>
        <v>26659.31672</v>
      </c>
      <c r="H82" s="4">
        <f t="array" ref="H82">XLOOKUP(A82, 'Transposed Data'!A:A, 'Transposed Data'!V:V, "missing", -1)/12</f>
        <v>8069.083333</v>
      </c>
      <c r="I82" s="4">
        <f t="shared" si="8"/>
        <v>8723.908921</v>
      </c>
      <c r="J82" s="4">
        <f t="shared" si="1"/>
        <v>654.8255877</v>
      </c>
      <c r="K82" s="4">
        <f t="shared" si="9"/>
        <v>30018.40404</v>
      </c>
      <c r="L82" s="4">
        <f t="array" ref="L82">XLOOKUP(A82, 'Transposed Data'!A:A, 'Transposed Data'!AA:AA, "missing", -1)/12</f>
        <v>9750.166667</v>
      </c>
      <c r="M82" s="4">
        <f t="shared" si="10"/>
        <v>10548.44895</v>
      </c>
      <c r="N82" s="4">
        <f t="shared" si="2"/>
        <v>798.2822872</v>
      </c>
      <c r="O82" s="4">
        <f t="shared" si="11"/>
        <v>36333.06696</v>
      </c>
      <c r="P82" s="4">
        <f t="array" ref="P82">XLOOKUP(A82, 'Transposed Data'!A:A, 'Transposed Data'!AF:AF, "missing", -1)/12</f>
        <v>11461.83333</v>
      </c>
      <c r="Q82" s="4">
        <f t="shared" si="12"/>
        <v>12399.94891</v>
      </c>
      <c r="R82" s="4">
        <f t="shared" si="3"/>
        <v>938.1155806</v>
      </c>
      <c r="S82" s="4">
        <f t="shared" si="13"/>
        <v>42699.74731</v>
      </c>
      <c r="T82" s="4">
        <f t="array" ref="T82">XLOOKUP(A82, 'Transposed Data'!A:A, 'Transposed Data'!AL:AL, "missing", -1)/12</f>
        <v>15016.08333</v>
      </c>
      <c r="U82" s="4">
        <f t="shared" si="14"/>
        <v>16245.29725</v>
      </c>
      <c r="V82" s="4">
        <f t="shared" si="4"/>
        <v>1229.213916</v>
      </c>
      <c r="W82" s="4">
        <f t="shared" si="15"/>
        <v>55947.44008</v>
      </c>
    </row>
    <row r="83">
      <c r="A83" s="1">
        <v>46266.0</v>
      </c>
      <c r="B83" s="14">
        <f t="array" ref="B83">XLOOKUP(A83, SLCI!A:A, SLCI!B:B, "missing", -1)/3</f>
        <v>0.2</v>
      </c>
      <c r="C83" s="14">
        <f t="array" ref="C83">XLOOKUP(A83, CPI!A:A, CPI!B:B, "missing", -1)/3</f>
        <v>0.2</v>
      </c>
      <c r="D83" s="4">
        <f t="array" ref="D83">XLOOKUP(A83, 'Transposed Data'!A:A, 'Transposed Data'!R:R, "missing", -1)/12</f>
        <v>7187.166667</v>
      </c>
      <c r="E83" s="4">
        <f t="shared" si="5"/>
        <v>7776.097956</v>
      </c>
      <c r="F83" s="4">
        <f t="shared" si="6"/>
        <v>588.9312895</v>
      </c>
      <c r="G83" s="4">
        <f t="shared" si="7"/>
        <v>27248.24801</v>
      </c>
      <c r="H83" s="4">
        <f t="array" ref="H83">XLOOKUP(A83, 'Transposed Data'!A:A, 'Transposed Data'!V:V, "missing", -1)/12</f>
        <v>8069.083333</v>
      </c>
      <c r="I83" s="4">
        <f t="shared" si="8"/>
        <v>8741.356739</v>
      </c>
      <c r="J83" s="4">
        <f t="shared" si="1"/>
        <v>672.2734056</v>
      </c>
      <c r="K83" s="4">
        <f t="shared" si="9"/>
        <v>30690.67744</v>
      </c>
      <c r="L83" s="4">
        <f t="array" ref="L83">XLOOKUP(A83, 'Transposed Data'!A:A, 'Transposed Data'!AA:AA, "missing", -1)/12</f>
        <v>9750.166667</v>
      </c>
      <c r="M83" s="4">
        <f t="shared" si="10"/>
        <v>10569.54585</v>
      </c>
      <c r="N83" s="4">
        <f t="shared" si="2"/>
        <v>819.3791851</v>
      </c>
      <c r="O83" s="4">
        <f t="shared" si="11"/>
        <v>37152.44614</v>
      </c>
      <c r="P83" s="4">
        <f t="array" ref="P83">XLOOKUP(A83, 'Transposed Data'!A:A, 'Transposed Data'!AF:AF, "missing", -1)/12</f>
        <v>11461.83333</v>
      </c>
      <c r="Q83" s="4">
        <f t="shared" si="12"/>
        <v>12424.74881</v>
      </c>
      <c r="R83" s="4">
        <f t="shared" si="3"/>
        <v>962.9154784</v>
      </c>
      <c r="S83" s="4">
        <f t="shared" si="13"/>
        <v>43662.66279</v>
      </c>
      <c r="T83" s="4">
        <f t="array" ref="T83">XLOOKUP(A83, 'Transposed Data'!A:A, 'Transposed Data'!AL:AL, "missing", -1)/12</f>
        <v>15016.08333</v>
      </c>
      <c r="U83" s="4">
        <f t="shared" si="14"/>
        <v>16277.78784</v>
      </c>
      <c r="V83" s="4">
        <f t="shared" si="4"/>
        <v>1261.704511</v>
      </c>
      <c r="W83" s="4">
        <f t="shared" si="15"/>
        <v>57209.14459</v>
      </c>
    </row>
    <row r="84">
      <c r="A84" s="1">
        <v>46296.0</v>
      </c>
      <c r="B84" s="14">
        <f t="array" ref="B84">XLOOKUP(A84, SLCI!A:A, SLCI!B:B, "missing", -1)/3</f>
        <v>0.2</v>
      </c>
      <c r="C84" s="14">
        <f t="array" ref="C84">XLOOKUP(A84, CPI!A:A, CPI!B:B, "missing", -1)/3</f>
        <v>0.2</v>
      </c>
      <c r="D84" s="4">
        <f t="array" ref="D84">XLOOKUP(A84, 'Transposed Data'!A:A, 'Transposed Data'!R:R, "missing", -1)/12</f>
        <v>7187.166667</v>
      </c>
      <c r="E84" s="4">
        <f t="shared" si="5"/>
        <v>7791.650152</v>
      </c>
      <c r="F84" s="4">
        <f t="shared" si="6"/>
        <v>604.4834854</v>
      </c>
      <c r="G84" s="4">
        <f t="shared" si="7"/>
        <v>27852.7315</v>
      </c>
      <c r="H84" s="4">
        <f t="array" ref="H84">XLOOKUP(A84, 'Transposed Data'!A:A, 'Transposed Data'!V:V, "missing", -1)/12</f>
        <v>8069.083333</v>
      </c>
      <c r="I84" s="4">
        <f t="shared" si="8"/>
        <v>8758.839452</v>
      </c>
      <c r="J84" s="4">
        <f t="shared" si="1"/>
        <v>689.756119</v>
      </c>
      <c r="K84" s="4">
        <f t="shared" si="9"/>
        <v>31380.43356</v>
      </c>
      <c r="L84" s="4">
        <f t="array" ref="L84">XLOOKUP(A84, 'Transposed Data'!A:A, 'Transposed Data'!AA:AA, "missing", -1)/12</f>
        <v>9750.166667</v>
      </c>
      <c r="M84" s="4">
        <f t="shared" si="10"/>
        <v>10590.68494</v>
      </c>
      <c r="N84" s="4">
        <f t="shared" si="2"/>
        <v>840.5182768</v>
      </c>
      <c r="O84" s="4">
        <f t="shared" si="11"/>
        <v>37992.96442</v>
      </c>
      <c r="P84" s="4">
        <f t="array" ref="P84">XLOOKUP(A84, 'Transposed Data'!A:A, 'Transposed Data'!AF:AF, "missing", -1)/12</f>
        <v>11461.83333</v>
      </c>
      <c r="Q84" s="4">
        <f t="shared" si="12"/>
        <v>12449.59831</v>
      </c>
      <c r="R84" s="4">
        <f t="shared" si="3"/>
        <v>987.764976</v>
      </c>
      <c r="S84" s="4">
        <f t="shared" si="13"/>
        <v>44650.42777</v>
      </c>
      <c r="T84" s="4">
        <f t="array" ref="T84">XLOOKUP(A84, 'Transposed Data'!A:A, 'Transposed Data'!AL:AL, "missing", -1)/12</f>
        <v>15016.08333</v>
      </c>
      <c r="U84" s="4">
        <f t="shared" si="14"/>
        <v>16310.34342</v>
      </c>
      <c r="V84" s="4">
        <f t="shared" si="4"/>
        <v>1294.260086</v>
      </c>
      <c r="W84" s="4">
        <f t="shared" si="15"/>
        <v>58503.40468</v>
      </c>
    </row>
    <row r="85">
      <c r="A85" s="1">
        <v>46327.0</v>
      </c>
      <c r="B85" s="14">
        <f t="array" ref="B85">XLOOKUP(A85, SLCI!A:A, SLCI!B:B, "missing", -1)/3</f>
        <v>0.2</v>
      </c>
      <c r="C85" s="14">
        <f t="array" ref="C85">XLOOKUP(A85, CPI!A:A, CPI!B:B, "missing", -1)/3</f>
        <v>0.2</v>
      </c>
      <c r="D85" s="4">
        <f t="array" ref="D85">XLOOKUP(A85, 'Transposed Data'!A:A, 'Transposed Data'!R:R, "missing", -1)/12</f>
        <v>7187.166667</v>
      </c>
      <c r="E85" s="4">
        <f t="shared" si="5"/>
        <v>7807.233452</v>
      </c>
      <c r="F85" s="4">
        <f t="shared" si="6"/>
        <v>620.0667857</v>
      </c>
      <c r="G85" s="4">
        <f t="shared" si="7"/>
        <v>28472.79828</v>
      </c>
      <c r="H85" s="4">
        <f t="array" ref="H85">XLOOKUP(A85, 'Transposed Data'!A:A, 'Transposed Data'!V:V, "missing", -1)/12</f>
        <v>8069.083333</v>
      </c>
      <c r="I85" s="4">
        <f t="shared" si="8"/>
        <v>8776.357131</v>
      </c>
      <c r="J85" s="4">
        <f t="shared" si="1"/>
        <v>707.273798</v>
      </c>
      <c r="K85" s="4">
        <f t="shared" si="9"/>
        <v>32087.70736</v>
      </c>
      <c r="L85" s="4">
        <f t="array" ref="L85">XLOOKUP(A85, 'Transposed Data'!A:A, 'Transposed Data'!AA:AA, "missing", -1)/12</f>
        <v>9750.166667</v>
      </c>
      <c r="M85" s="4">
        <f t="shared" si="10"/>
        <v>10611.86631</v>
      </c>
      <c r="N85" s="4">
        <f t="shared" si="2"/>
        <v>861.6996467</v>
      </c>
      <c r="O85" s="4">
        <f t="shared" si="11"/>
        <v>38854.66407</v>
      </c>
      <c r="P85" s="4">
        <f t="array" ref="P85">XLOOKUP(A85, 'Transposed Data'!A:A, 'Transposed Data'!AF:AF, "missing", -1)/12</f>
        <v>11461.83333</v>
      </c>
      <c r="Q85" s="4">
        <f t="shared" si="12"/>
        <v>12474.49751</v>
      </c>
      <c r="R85" s="4">
        <f t="shared" si="3"/>
        <v>1012.664173</v>
      </c>
      <c r="S85" s="4">
        <f t="shared" si="13"/>
        <v>45663.09194</v>
      </c>
      <c r="T85" s="4">
        <f t="array" ref="T85">XLOOKUP(A85, 'Transposed Data'!A:A, 'Transposed Data'!AL:AL, "missing", -1)/12</f>
        <v>15016.08333</v>
      </c>
      <c r="U85" s="4">
        <f t="shared" si="14"/>
        <v>16342.96411</v>
      </c>
      <c r="V85" s="4">
        <f t="shared" si="4"/>
        <v>1326.880773</v>
      </c>
      <c r="W85" s="4">
        <f t="shared" si="15"/>
        <v>59830.28545</v>
      </c>
    </row>
    <row r="86">
      <c r="A86" s="1">
        <v>46357.0</v>
      </c>
      <c r="B86" s="14">
        <f t="array" ref="B86">XLOOKUP(A86, SLCI!A:A, SLCI!B:B, "missing", -1)/3</f>
        <v>0.2</v>
      </c>
      <c r="C86" s="14">
        <f t="array" ref="C86">XLOOKUP(A86, CPI!A:A, CPI!B:B, "missing", -1)/3</f>
        <v>0.2</v>
      </c>
      <c r="D86" s="4">
        <f t="array" ref="D86">XLOOKUP(A86, 'Transposed Data'!A:A, 'Transposed Data'!R:R, "missing", -1)/12</f>
        <v>7187.166667</v>
      </c>
      <c r="E86" s="4">
        <f t="shared" si="5"/>
        <v>7822.847919</v>
      </c>
      <c r="F86" s="4">
        <f t="shared" si="6"/>
        <v>635.6812526</v>
      </c>
      <c r="G86" s="4">
        <f t="shared" si="7"/>
        <v>29108.47954</v>
      </c>
      <c r="H86" s="4">
        <f t="array" ref="H86">XLOOKUP(A86, 'Transposed Data'!A:A, 'Transposed Data'!V:V, "missing", -1)/12</f>
        <v>8069.083333</v>
      </c>
      <c r="I86" s="4">
        <f t="shared" si="8"/>
        <v>8793.909846</v>
      </c>
      <c r="J86" s="4">
        <f t="shared" si="1"/>
        <v>724.8265122</v>
      </c>
      <c r="K86" s="4">
        <f t="shared" si="9"/>
        <v>32812.53387</v>
      </c>
      <c r="L86" s="4">
        <f t="array" ref="L86">XLOOKUP(A86, 'Transposed Data'!A:A, 'Transposed Data'!AA:AA, "missing", -1)/12</f>
        <v>9750.166667</v>
      </c>
      <c r="M86" s="4">
        <f t="shared" si="10"/>
        <v>10633.09005</v>
      </c>
      <c r="N86" s="4">
        <f t="shared" si="2"/>
        <v>882.9233793</v>
      </c>
      <c r="O86" s="4">
        <f t="shared" si="11"/>
        <v>39737.58745</v>
      </c>
      <c r="P86" s="4">
        <f t="array" ref="P86">XLOOKUP(A86, 'Transposed Data'!A:A, 'Transposed Data'!AF:AF, "missing", -1)/12</f>
        <v>11461.83333</v>
      </c>
      <c r="Q86" s="4">
        <f t="shared" si="12"/>
        <v>12499.4465</v>
      </c>
      <c r="R86" s="4">
        <f t="shared" si="3"/>
        <v>1037.613168</v>
      </c>
      <c r="S86" s="4">
        <f t="shared" si="13"/>
        <v>46700.70511</v>
      </c>
      <c r="T86" s="4">
        <f t="array" ref="T86">XLOOKUP(A86, 'Transposed Data'!A:A, 'Transposed Data'!AL:AL, "missing", -1)/12</f>
        <v>15016.08333</v>
      </c>
      <c r="U86" s="4">
        <f t="shared" si="14"/>
        <v>16375.65003</v>
      </c>
      <c r="V86" s="4">
        <f t="shared" si="4"/>
        <v>1359.566701</v>
      </c>
      <c r="W86" s="4">
        <f t="shared" si="15"/>
        <v>61189.85215</v>
      </c>
    </row>
    <row r="87">
      <c r="A87" s="1">
        <v>46388.0</v>
      </c>
      <c r="B87" s="14">
        <f t="array" ref="B87">XLOOKUP(A87, SLCI!A:A, SLCI!B:B, "missing", -1)/3</f>
        <v>0.2</v>
      </c>
      <c r="C87" s="14">
        <f t="array" ref="C87">XLOOKUP(A87, CPI!A:A, CPI!B:B, "missing", -1)/3</f>
        <v>0.2</v>
      </c>
      <c r="D87" s="4">
        <f t="array" ref="D87">XLOOKUP(A87, 'Transposed Data'!A:A, 'Transposed Data'!R:R, "missing", -1)/12</f>
        <v>7187.166667</v>
      </c>
      <c r="E87" s="4">
        <f t="shared" si="5"/>
        <v>7838.493615</v>
      </c>
      <c r="F87" s="4">
        <f t="shared" si="6"/>
        <v>651.3269484</v>
      </c>
      <c r="G87" s="4">
        <f t="shared" si="7"/>
        <v>29759.80648</v>
      </c>
      <c r="H87" s="4">
        <f t="array" ref="H87">XLOOKUP(A87, 'Transposed Data'!A:A, 'Transposed Data'!V:V, "missing", -1)/12</f>
        <v>8069.083333</v>
      </c>
      <c r="I87" s="4">
        <f t="shared" si="8"/>
        <v>8811.497665</v>
      </c>
      <c r="J87" s="4">
        <f t="shared" si="1"/>
        <v>742.4143319</v>
      </c>
      <c r="K87" s="4">
        <f t="shared" si="9"/>
        <v>33554.9482</v>
      </c>
      <c r="L87" s="4">
        <f t="array" ref="L87">XLOOKUP(A87, 'Transposed Data'!A:A, 'Transposed Data'!AA:AA, "missing", -1)/12</f>
        <v>9750.166667</v>
      </c>
      <c r="M87" s="4">
        <f t="shared" si="10"/>
        <v>10654.35623</v>
      </c>
      <c r="N87" s="4">
        <f t="shared" si="2"/>
        <v>904.1895594</v>
      </c>
      <c r="O87" s="4">
        <f t="shared" si="11"/>
        <v>40641.77701</v>
      </c>
      <c r="P87" s="4">
        <f t="array" ref="P87">XLOOKUP(A87, 'Transposed Data'!A:A, 'Transposed Data'!AF:AF, "missing", -1)/12</f>
        <v>11461.83333</v>
      </c>
      <c r="Q87" s="4">
        <f t="shared" si="12"/>
        <v>12524.44539</v>
      </c>
      <c r="R87" s="4">
        <f t="shared" si="3"/>
        <v>1062.612061</v>
      </c>
      <c r="S87" s="4">
        <f t="shared" si="13"/>
        <v>47763.31717</v>
      </c>
      <c r="T87" s="4">
        <f t="array" ref="T87">XLOOKUP(A87, 'Transposed Data'!A:A, 'Transposed Data'!AL:AL, "missing", -1)/12</f>
        <v>15016.08333</v>
      </c>
      <c r="U87" s="4">
        <f t="shared" si="14"/>
        <v>16408.40133</v>
      </c>
      <c r="V87" s="4">
        <f t="shared" si="4"/>
        <v>1392.318002</v>
      </c>
      <c r="W87" s="4">
        <f t="shared" si="15"/>
        <v>62582.17015</v>
      </c>
    </row>
    <row r="88">
      <c r="A88" s="1">
        <v>46419.0</v>
      </c>
      <c r="B88" s="14">
        <f t="array" ref="B88">XLOOKUP(A88, SLCI!A:A, SLCI!B:B, "missing", -1)/3</f>
        <v>0.2</v>
      </c>
      <c r="C88" s="14">
        <f t="array" ref="C88">XLOOKUP(A88, CPI!A:A, CPI!B:B, "missing", -1)/3</f>
        <v>0.2</v>
      </c>
      <c r="D88" s="4">
        <f t="array" ref="D88">XLOOKUP(A88, 'Transposed Data'!A:A, 'Transposed Data'!R:R, "missing", -1)/12</f>
        <v>7187.166667</v>
      </c>
      <c r="E88" s="4">
        <f t="shared" si="5"/>
        <v>7854.170602</v>
      </c>
      <c r="F88" s="4">
        <f t="shared" si="6"/>
        <v>667.0039357</v>
      </c>
      <c r="G88" s="4">
        <f t="shared" si="7"/>
        <v>30426.81042</v>
      </c>
      <c r="H88" s="4">
        <f t="array" ref="H88">XLOOKUP(A88, 'Transposed Data'!A:A, 'Transposed Data'!V:V, "missing", -1)/12</f>
        <v>8069.083333</v>
      </c>
      <c r="I88" s="4">
        <f t="shared" si="8"/>
        <v>8829.120661</v>
      </c>
      <c r="J88" s="4">
        <f t="shared" si="1"/>
        <v>760.0373272</v>
      </c>
      <c r="K88" s="4">
        <f t="shared" si="9"/>
        <v>34314.98553</v>
      </c>
      <c r="L88" s="4">
        <f t="array" ref="L88">XLOOKUP(A88, 'Transposed Data'!A:A, 'Transposed Data'!AA:AA, "missing", -1)/12</f>
        <v>9750.166667</v>
      </c>
      <c r="M88" s="4">
        <f t="shared" si="10"/>
        <v>10675.66494</v>
      </c>
      <c r="N88" s="4">
        <f t="shared" si="2"/>
        <v>925.4982719</v>
      </c>
      <c r="O88" s="4">
        <f t="shared" si="11"/>
        <v>41567.27528</v>
      </c>
      <c r="P88" s="4">
        <f t="array" ref="P88">XLOOKUP(A88, 'Transposed Data'!A:A, 'Transposed Data'!AF:AF, "missing", -1)/12</f>
        <v>11461.83333</v>
      </c>
      <c r="Q88" s="4">
        <f t="shared" si="12"/>
        <v>12549.49428</v>
      </c>
      <c r="R88" s="4">
        <f t="shared" si="3"/>
        <v>1087.660951</v>
      </c>
      <c r="S88" s="4">
        <f t="shared" si="13"/>
        <v>48850.97812</v>
      </c>
      <c r="T88" s="4">
        <f t="array" ref="T88">XLOOKUP(A88, 'Transposed Data'!A:A, 'Transposed Data'!AL:AL, "missing", -1)/12</f>
        <v>15016.08333</v>
      </c>
      <c r="U88" s="4">
        <f t="shared" si="14"/>
        <v>16441.21814</v>
      </c>
      <c r="V88" s="4">
        <f t="shared" si="4"/>
        <v>1425.134804</v>
      </c>
      <c r="W88" s="4">
        <f t="shared" si="15"/>
        <v>64007.30496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16</v>
      </c>
      <c r="B1" s="4">
        <v>30426.81042051247</v>
      </c>
    </row>
    <row r="2">
      <c r="A2" s="2" t="s">
        <v>20</v>
      </c>
      <c r="B2" s="4">
        <v>34314.98553218575</v>
      </c>
    </row>
    <row r="3">
      <c r="A3" s="2" t="s">
        <v>25</v>
      </c>
      <c r="B3" s="4">
        <v>41567.27527781745</v>
      </c>
    </row>
    <row r="4">
      <c r="A4" s="2" t="s">
        <v>30</v>
      </c>
      <c r="B4" s="4">
        <v>48850.97812034658</v>
      </c>
    </row>
    <row r="5">
      <c r="A5" s="2" t="s">
        <v>36</v>
      </c>
      <c r="B5" s="4">
        <v>64007.304957024106</v>
      </c>
    </row>
  </sheetData>
  <drawing r:id="rId1"/>
</worksheet>
</file>